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7500" activeTab="1"/>
  </bookViews>
  <sheets>
    <sheet name="Hoja1" sheetId="1" r:id="rId1"/>
    <sheet name="Hoja3" sheetId="3" r:id="rId2"/>
  </sheets>
  <calcPr calcId="145621"/>
</workbook>
</file>

<file path=xl/calcChain.xml><?xml version="1.0" encoding="utf-8"?>
<calcChain xmlns="http://schemas.openxmlformats.org/spreadsheetml/2006/main">
  <c r="L26" i="3" l="1"/>
  <c r="J31" i="3" l="1"/>
  <c r="J30" i="3"/>
  <c r="J32" i="3" s="1"/>
  <c r="J28" i="3"/>
  <c r="G36" i="3" s="1"/>
  <c r="L25" i="3"/>
  <c r="M30" i="3" s="1"/>
  <c r="K25" i="3"/>
  <c r="J25" i="3"/>
  <c r="G30" i="3" s="1"/>
  <c r="G31" i="3" s="1"/>
  <c r="G32" i="3" s="1"/>
  <c r="G37" i="3" s="1"/>
  <c r="G38" i="3" s="1"/>
  <c r="M37" i="3" s="1"/>
  <c r="H25" i="3"/>
  <c r="G25" i="3"/>
  <c r="F25" i="3"/>
  <c r="J33" i="3" l="1"/>
  <c r="J37" i="3" s="1"/>
  <c r="J38" i="3" s="1"/>
  <c r="M38" i="3" s="1"/>
  <c r="M31" i="3"/>
  <c r="M32" i="3" s="1"/>
  <c r="M36" i="3" s="1"/>
  <c r="J34" i="3" l="1"/>
  <c r="M39" i="3"/>
  <c r="J32" i="1"/>
  <c r="J29" i="1" l="1"/>
  <c r="J31" i="1" s="1"/>
  <c r="J25" i="1"/>
  <c r="J28" i="1"/>
  <c r="J34" i="1" s="1"/>
  <c r="G25" i="1" l="1"/>
  <c r="F25" i="1"/>
  <c r="H25" i="1"/>
  <c r="L25" i="1"/>
  <c r="K25" i="1"/>
</calcChain>
</file>

<file path=xl/sharedStrings.xml><?xml version="1.0" encoding="utf-8"?>
<sst xmlns="http://schemas.openxmlformats.org/spreadsheetml/2006/main" count="149" uniqueCount="77">
  <si>
    <t>OT</t>
  </si>
  <si>
    <t>Rut Cliente</t>
  </si>
  <si>
    <t>Nombre</t>
  </si>
  <si>
    <t>Fecha Atencion</t>
  </si>
  <si>
    <t>Precio</t>
  </si>
  <si>
    <t>Abono</t>
  </si>
  <si>
    <t>Saldo</t>
  </si>
  <si>
    <t>Cuotas</t>
  </si>
  <si>
    <t>CUOTA DICIEMBRE</t>
  </si>
  <si>
    <t>CUOTA ENERO 24</t>
  </si>
  <si>
    <t>BOLETA</t>
  </si>
  <si>
    <t>17684680-1</t>
  </si>
  <si>
    <t>ABIGAIL DURAN</t>
  </si>
  <si>
    <t>17579704-1</t>
  </si>
  <si>
    <t>CLAUDIA OLGUIN</t>
  </si>
  <si>
    <t>18090728-9</t>
  </si>
  <si>
    <t>ESTEBAN SOTO</t>
  </si>
  <si>
    <t>12603725-2</t>
  </si>
  <si>
    <t>17775489-7</t>
  </si>
  <si>
    <t>JONATHAN GARCIA</t>
  </si>
  <si>
    <t>15546325-2</t>
  </si>
  <si>
    <t>JUDY COFRE</t>
  </si>
  <si>
    <t>19742001-4</t>
  </si>
  <si>
    <t>10397793-2</t>
  </si>
  <si>
    <t>MARCELA RAMIREZ</t>
  </si>
  <si>
    <t>8177244-4</t>
  </si>
  <si>
    <t>MARIA RIVERA</t>
  </si>
  <si>
    <t>18847945-6</t>
  </si>
  <si>
    <t>12120292-1</t>
  </si>
  <si>
    <t>MONICA MELLAO</t>
  </si>
  <si>
    <t>13485230-5</t>
  </si>
  <si>
    <t>11682157-5</t>
  </si>
  <si>
    <t>PAOLA ESPINAZA FUENTES</t>
  </si>
  <si>
    <t>12602578-5</t>
  </si>
  <si>
    <t>9804092-7</t>
  </si>
  <si>
    <t>SANDRA ARENAS</t>
  </si>
  <si>
    <t>12195684-5</t>
  </si>
  <si>
    <t>SANDRA CHAVEZ</t>
  </si>
  <si>
    <t>PAGO DIRECTO</t>
  </si>
  <si>
    <t>19843352-7</t>
  </si>
  <si>
    <t>ALVARO VEGA</t>
  </si>
  <si>
    <t>8231295-1</t>
  </si>
  <si>
    <t>JUANA ARMELLA</t>
  </si>
  <si>
    <t>03.10.23</t>
  </si>
  <si>
    <t>CUOTA NOVIEMBRE</t>
  </si>
  <si>
    <t>WALMART - LIDER O´HIGGINS LOCAL 49</t>
  </si>
  <si>
    <t>29.11.23</t>
  </si>
  <si>
    <t>03.12.23</t>
  </si>
  <si>
    <t>PLANILLA EMP.</t>
  </si>
  <si>
    <t>A FAVOR LOCAL 49</t>
  </si>
  <si>
    <t>DEP.BANCO</t>
  </si>
  <si>
    <t>9-3683 6413</t>
  </si>
  <si>
    <t>IMPAGA</t>
  </si>
  <si>
    <t>PAGARAN 2DA. CUOTA EL 23 DE ENERO 24</t>
  </si>
  <si>
    <t>JEANETTE VEGA</t>
  </si>
  <si>
    <t>MAKARENA VENEGAS</t>
  </si>
  <si>
    <t>MARTA COLLILEF</t>
  </si>
  <si>
    <t>ORIELLA PEREIRA</t>
  </si>
  <si>
    <t>PRISCILA PINO</t>
  </si>
  <si>
    <t>DEP.BANCO 1era. CUOTA</t>
  </si>
  <si>
    <t>1ERA. CUOTA</t>
  </si>
  <si>
    <t>VALOR A PAGAR</t>
  </si>
  <si>
    <t>2DA. CUOTA</t>
  </si>
  <si>
    <t>BANCO</t>
  </si>
  <si>
    <t>LO QUE SE DEBERIA HABER PAGADO</t>
  </si>
  <si>
    <t>VALOR CUOTA</t>
  </si>
  <si>
    <t>SALDO PENDIENTE DE LA 1ERA CUOTA</t>
  </si>
  <si>
    <t>BANCO 24.01.24</t>
  </si>
  <si>
    <t>3ERA. CUOTA</t>
  </si>
  <si>
    <t>A PAGAR</t>
  </si>
  <si>
    <t>VALOR 3ERA CUOTA MENOS LOS SALDOS A FAVOR DE EMPRESA</t>
  </si>
  <si>
    <t>DIFERENCIA A FAVOR DE WALMART</t>
  </si>
  <si>
    <t>BOLETA 01.02.24</t>
  </si>
  <si>
    <t>NO</t>
  </si>
  <si>
    <t>BANCO 21.02.24</t>
  </si>
  <si>
    <t>OK</t>
  </si>
  <si>
    <t>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</si>
</sst>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0409]#,##0;\(#,##0\)"/>
    <numFmt numFmtId="165" formatCode="[$-10409]dd\-mm\-yyyy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</font>
    <font>
      <b/>
      <sz val="11"/>
      <color indexed="8"/>
      <name val="Arial"/>
      <family val="2"/>
    </font>
    <font>
      <b/>
      <sz val="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20">
    <xf numFmtId="0" fontId="0" fillId="0" borderId="0" xfId="0"/>
    <xf numFmtId="0" fontId="0" fillId="0" borderId="0" xfId="0"/>
    <xf numFmtId="0" fontId="0" fillId="0" borderId="2" xfId="0" applyBorder="1"/>
    <xf numFmtId="164" fontId="1" fillId="0" borderId="3" xfId="0" applyNumberFormat="1" applyFont="1" applyBorder="1"/>
    <xf numFmtId="0" fontId="0" fillId="0" borderId="6" xfId="0" applyBorder="1"/>
    <xf numFmtId="0" fontId="0" fillId="0" borderId="3" xfId="0" applyBorder="1"/>
    <xf numFmtId="0" fontId="5" fillId="2" borderId="3" xfId="0" applyFont="1" applyFill="1" applyBorder="1" applyAlignment="1" applyProtection="1">
      <alignment horizontal="center"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3" borderId="10" xfId="0" applyFont="1" applyFill="1" applyBorder="1" applyAlignment="1" applyProtection="1">
      <alignment vertical="top" wrapText="1" readingOrder="1"/>
      <protection locked="0"/>
    </xf>
    <xf numFmtId="0" fontId="5" fillId="2" borderId="1" xfId="0" applyFont="1" applyFill="1" applyBorder="1" applyAlignment="1" applyProtection="1">
      <alignment horizontal="center" vertical="top" wrapText="1" readingOrder="1"/>
      <protection locked="0"/>
    </xf>
    <xf numFmtId="0" fontId="3" fillId="2" borderId="3" xfId="0" applyFont="1" applyFill="1" applyBorder="1" applyAlignment="1" applyProtection="1">
      <alignment horizontal="center" vertical="top" wrapText="1" readingOrder="1"/>
      <protection locked="0"/>
    </xf>
    <xf numFmtId="0" fontId="0" fillId="0" borderId="19" xfId="0" applyBorder="1"/>
    <xf numFmtId="0" fontId="0" fillId="0" borderId="12" xfId="0" applyBorder="1"/>
    <xf numFmtId="0" fontId="0" fillId="0" borderId="20" xfId="0" applyBorder="1"/>
    <xf numFmtId="164" fontId="5" fillId="0" borderId="10" xfId="0" applyNumberFormat="1" applyFont="1" applyBorder="1" applyAlignment="1" applyProtection="1">
      <alignment horizontal="right" vertical="top" wrapText="1" readingOrder="1"/>
      <protection locked="0"/>
    </xf>
    <xf numFmtId="164" fontId="5" fillId="0" borderId="13" xfId="0" applyNumberFormat="1" applyFont="1" applyBorder="1" applyAlignment="1" applyProtection="1">
      <alignment horizontal="right" vertical="top" wrapText="1" readingOrder="1"/>
      <protection locked="0"/>
    </xf>
    <xf numFmtId="164" fontId="5" fillId="0" borderId="9" xfId="0" applyNumberFormat="1" applyFont="1" applyBorder="1" applyAlignment="1" applyProtection="1">
      <alignment horizontal="right" vertical="top" wrapText="1" readingOrder="1"/>
      <protection locked="0"/>
    </xf>
    <xf numFmtId="0" fontId="5" fillId="2" borderId="2" xfId="0" applyFont="1" applyFill="1" applyBorder="1" applyAlignment="1" applyProtection="1">
      <alignment horizontal="center" vertical="top" wrapText="1" readingOrder="1"/>
      <protection locked="0"/>
    </xf>
    <xf numFmtId="165" fontId="5" fillId="2" borderId="2" xfId="0" applyNumberFormat="1" applyFont="1" applyFill="1" applyBorder="1" applyAlignment="1" applyProtection="1">
      <alignment horizontal="center" vertical="top" wrapText="1" readingOrder="1"/>
      <protection locked="0"/>
    </xf>
    <xf numFmtId="165" fontId="5" fillId="2" borderId="3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0" borderId="14" xfId="0" applyNumberFormat="1" applyFont="1" applyBorder="1" applyAlignment="1" applyProtection="1">
      <alignment horizontal="right" vertical="top" wrapText="1" readingOrder="1"/>
      <protection locked="0"/>
    </xf>
    <xf numFmtId="0" fontId="6" fillId="0" borderId="25" xfId="0" applyFont="1" applyBorder="1" applyAlignment="1" applyProtection="1">
      <alignment vertical="top" wrapText="1" readingOrder="1"/>
      <protection locked="0"/>
    </xf>
    <xf numFmtId="0" fontId="6" fillId="0" borderId="26" xfId="0" applyFont="1" applyBorder="1" applyAlignment="1" applyProtection="1">
      <alignment vertical="top" wrapText="1" readingOrder="1"/>
      <protection locked="0"/>
    </xf>
    <xf numFmtId="0" fontId="0" fillId="0" borderId="0" xfId="0" applyBorder="1"/>
    <xf numFmtId="164" fontId="5" fillId="0" borderId="22" xfId="0" applyNumberFormat="1" applyFont="1" applyBorder="1" applyAlignment="1" applyProtection="1">
      <alignment horizontal="right" vertical="top" wrapText="1" readingOrder="1"/>
      <protection locked="0"/>
    </xf>
    <xf numFmtId="164" fontId="5" fillId="0" borderId="15" xfId="0" applyNumberFormat="1" applyFont="1" applyBorder="1" applyAlignment="1" applyProtection="1">
      <alignment horizontal="right" vertical="top" wrapText="1" readingOrder="1"/>
      <protection locked="0"/>
    </xf>
    <xf numFmtId="164" fontId="6" fillId="0" borderId="0" xfId="0" applyNumberFormat="1" applyFont="1" applyBorder="1" applyAlignment="1" applyProtection="1">
      <alignment horizontal="right" vertical="top" wrapText="1" readingOrder="1"/>
      <protection locked="0"/>
    </xf>
    <xf numFmtId="0" fontId="6" fillId="0" borderId="0" xfId="0" applyFont="1" applyBorder="1" applyAlignment="1" applyProtection="1">
      <alignment horizontal="right" vertical="top" wrapText="1" readingOrder="1"/>
      <protection locked="0"/>
    </xf>
    <xf numFmtId="164" fontId="3" fillId="0" borderId="3" xfId="0" applyNumberFormat="1" applyFont="1" applyBorder="1" applyAlignment="1" applyProtection="1">
      <alignment horizontal="right" vertical="top" wrapText="1" readingOrder="1"/>
      <protection locked="0"/>
    </xf>
    <xf numFmtId="0" fontId="0" fillId="0" borderId="24" xfId="0" applyBorder="1"/>
    <xf numFmtId="0" fontId="3" fillId="2" borderId="17" xfId="0" applyFont="1" applyFill="1" applyBorder="1" applyAlignment="1" applyProtection="1">
      <alignment horizontal="center" vertical="top" wrapText="1" readingOrder="1"/>
      <protection locked="0"/>
    </xf>
    <xf numFmtId="165" fontId="5" fillId="2" borderId="17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0" borderId="9" xfId="0" applyFont="1" applyBorder="1" applyAlignment="1" applyProtection="1">
      <alignment vertical="top" wrapText="1" readingOrder="1"/>
      <protection locked="0"/>
    </xf>
    <xf numFmtId="0" fontId="5" fillId="0" borderId="10" xfId="0" applyFont="1" applyBorder="1" applyAlignment="1" applyProtection="1">
      <alignment vertical="top" wrapText="1" readingOrder="1"/>
      <protection locked="0"/>
    </xf>
    <xf numFmtId="0" fontId="5" fillId="0" borderId="14" xfId="0" applyFont="1" applyBorder="1" applyAlignment="1" applyProtection="1">
      <alignment horizontal="right" vertical="top" wrapText="1" readingOrder="1"/>
      <protection locked="0"/>
    </xf>
    <xf numFmtId="0" fontId="5" fillId="0" borderId="13" xfId="0" applyFont="1" applyBorder="1" applyAlignment="1" applyProtection="1">
      <alignment vertical="top" wrapText="1" readingOrder="1"/>
      <protection locked="0"/>
    </xf>
    <xf numFmtId="165" fontId="5" fillId="0" borderId="10" xfId="0" applyNumberFormat="1" applyFont="1" applyBorder="1" applyAlignment="1" applyProtection="1">
      <alignment vertical="top" wrapText="1" readingOrder="1"/>
      <protection locked="0"/>
    </xf>
    <xf numFmtId="165" fontId="5" fillId="0" borderId="13" xfId="0" applyNumberFormat="1" applyFont="1" applyBorder="1" applyAlignment="1" applyProtection="1">
      <alignment vertical="top" wrapText="1" readingOrder="1"/>
      <protection locked="0"/>
    </xf>
    <xf numFmtId="164" fontId="5" fillId="0" borderId="11" xfId="0" applyNumberFormat="1" applyFont="1" applyBorder="1" applyAlignment="1" applyProtection="1">
      <alignment horizontal="right" vertical="top" wrapText="1" readingOrder="1"/>
      <protection locked="0"/>
    </xf>
    <xf numFmtId="0" fontId="7" fillId="4" borderId="18" xfId="0" applyFont="1" applyFill="1" applyBorder="1"/>
    <xf numFmtId="0" fontId="7" fillId="4" borderId="16" xfId="0" applyFont="1" applyFill="1" applyBorder="1"/>
    <xf numFmtId="0" fontId="7" fillId="4" borderId="3" xfId="0" applyFont="1" applyFill="1" applyBorder="1" applyAlignment="1">
      <alignment horizontal="right"/>
    </xf>
    <xf numFmtId="164" fontId="7" fillId="4" borderId="3" xfId="0" applyNumberFormat="1" applyFont="1" applyFill="1" applyBorder="1"/>
    <xf numFmtId="164" fontId="5" fillId="0" borderId="28" xfId="0" applyNumberFormat="1" applyFont="1" applyBorder="1" applyAlignment="1" applyProtection="1">
      <alignment horizontal="right" vertical="top" wrapText="1" readingOrder="1"/>
      <protection locked="0"/>
    </xf>
    <xf numFmtId="165" fontId="5" fillId="0" borderId="8" xfId="0" applyNumberFormat="1" applyFont="1" applyBorder="1" applyAlignment="1" applyProtection="1">
      <alignment vertical="top" wrapText="1" readingOrder="1"/>
      <protection locked="0"/>
    </xf>
    <xf numFmtId="0" fontId="5" fillId="0" borderId="8" xfId="0" applyFont="1" applyBorder="1" applyAlignment="1" applyProtection="1">
      <alignment vertical="top" wrapText="1" readingOrder="1"/>
      <protection locked="0"/>
    </xf>
    <xf numFmtId="0" fontId="5" fillId="0" borderId="7" xfId="0" applyFont="1" applyBorder="1" applyAlignment="1" applyProtection="1">
      <alignment vertical="top" wrapText="1" readingOrder="1"/>
      <protection locked="0"/>
    </xf>
    <xf numFmtId="164" fontId="5" fillId="0" borderId="27" xfId="0" applyNumberFormat="1" applyFont="1" applyBorder="1" applyAlignment="1" applyProtection="1">
      <alignment horizontal="right" vertical="top" wrapText="1" readingOrder="1"/>
      <protection locked="0"/>
    </xf>
    <xf numFmtId="165" fontId="5" fillId="0" borderId="5" xfId="0" applyNumberFormat="1" applyFont="1" applyBorder="1" applyAlignment="1" applyProtection="1">
      <alignment vertical="top" wrapText="1" readingOrder="1"/>
      <protection locked="0"/>
    </xf>
    <xf numFmtId="0" fontId="5" fillId="0" borderId="5" xfId="0" applyFont="1" applyBorder="1" applyAlignment="1" applyProtection="1">
      <alignment vertical="top" wrapText="1" readingOrder="1"/>
      <protection locked="0"/>
    </xf>
    <xf numFmtId="0" fontId="5" fillId="0" borderId="4" xfId="0" applyFont="1" applyBorder="1" applyAlignment="1" applyProtection="1">
      <alignment vertical="top" wrapText="1" readingOrder="1"/>
      <protection locked="0"/>
    </xf>
    <xf numFmtId="164" fontId="3" fillId="0" borderId="2" xfId="0" applyNumberFormat="1" applyFont="1" applyBorder="1" applyAlignment="1" applyProtection="1">
      <alignment horizontal="right" vertical="top" wrapText="1" readingOrder="1"/>
      <protection locked="0"/>
    </xf>
    <xf numFmtId="0" fontId="5" fillId="0" borderId="13" xfId="0" applyFont="1" applyBorder="1" applyAlignment="1" applyProtection="1">
      <alignment horizontal="center" vertical="top" wrapText="1" readingOrder="1"/>
      <protection locked="0"/>
    </xf>
    <xf numFmtId="0" fontId="5" fillId="0" borderId="10" xfId="0" applyFont="1" applyBorder="1" applyAlignment="1" applyProtection="1">
      <alignment horizontal="center" vertical="top" wrapText="1" readingOrder="1"/>
      <protection locked="0"/>
    </xf>
    <xf numFmtId="0" fontId="5" fillId="0" borderId="10" xfId="0" applyFont="1" applyBorder="1" applyAlignment="1" applyProtection="1">
      <alignment horizontal="right" vertical="top" wrapText="1" readingOrder="1"/>
      <protection locked="0"/>
    </xf>
    <xf numFmtId="164" fontId="5" fillId="0" borderId="23" xfId="0" applyNumberFormat="1" applyFont="1" applyBorder="1" applyAlignment="1" applyProtection="1">
      <alignment horizontal="right" vertical="top" wrapText="1" readingOrder="1"/>
      <protection locked="0"/>
    </xf>
    <xf numFmtId="0" fontId="5" fillId="0" borderId="23" xfId="0" applyFont="1" applyBorder="1" applyAlignment="1" applyProtection="1">
      <alignment horizontal="center" vertical="top" wrapText="1" readingOrder="1"/>
      <protection locked="0"/>
    </xf>
    <xf numFmtId="165" fontId="5" fillId="0" borderId="23" xfId="0" applyNumberFormat="1" applyFont="1" applyBorder="1" applyAlignment="1" applyProtection="1">
      <alignment vertical="top" wrapText="1" readingOrder="1"/>
      <protection locked="0"/>
    </xf>
    <xf numFmtId="0" fontId="5" fillId="0" borderId="23" xfId="0" applyFont="1" applyBorder="1" applyAlignment="1" applyProtection="1">
      <alignment vertical="top" wrapText="1" readingOrder="1"/>
      <protection locked="0"/>
    </xf>
    <xf numFmtId="0" fontId="4" fillId="0" borderId="2" xfId="0" applyFont="1" applyBorder="1" applyAlignment="1" applyProtection="1">
      <alignment vertical="top" wrapText="1" readingOrder="1"/>
      <protection locked="0"/>
    </xf>
    <xf numFmtId="164" fontId="5" fillId="4" borderId="11" xfId="0" applyNumberFormat="1" applyFont="1" applyFill="1" applyBorder="1" applyAlignment="1" applyProtection="1">
      <alignment horizontal="right" vertical="top" wrapText="1" readingOrder="1"/>
      <protection locked="0"/>
    </xf>
    <xf numFmtId="164" fontId="5" fillId="4" borderId="10" xfId="0" applyNumberFormat="1" applyFont="1" applyFill="1" applyBorder="1" applyAlignment="1" applyProtection="1">
      <alignment horizontal="right" vertical="top" wrapText="1" readingOrder="1"/>
      <protection locked="0"/>
    </xf>
    <xf numFmtId="164" fontId="5" fillId="4" borderId="23" xfId="0" applyNumberFormat="1" applyFont="1" applyFill="1" applyBorder="1" applyAlignment="1" applyProtection="1">
      <alignment horizontal="right" vertical="top" wrapText="1" readingOrder="1"/>
      <protection locked="0"/>
    </xf>
    <xf numFmtId="164" fontId="5" fillId="3" borderId="10" xfId="0" applyNumberFormat="1" applyFont="1" applyFill="1" applyBorder="1" applyAlignment="1" applyProtection="1">
      <alignment horizontal="right" vertical="top" wrapText="1" readingOrder="1"/>
      <protection locked="0"/>
    </xf>
    <xf numFmtId="164" fontId="1" fillId="4" borderId="3" xfId="0" applyNumberFormat="1" applyFont="1" applyFill="1" applyBorder="1"/>
    <xf numFmtId="0" fontId="1" fillId="4" borderId="6" xfId="0" applyFont="1" applyFill="1" applyBorder="1"/>
    <xf numFmtId="164" fontId="3" fillId="4" borderId="3" xfId="0" applyNumberFormat="1" applyFont="1" applyFill="1" applyBorder="1" applyAlignment="1" applyProtection="1">
      <alignment horizontal="right" vertical="top" wrapText="1" readingOrder="1"/>
      <protection locked="0"/>
    </xf>
    <xf numFmtId="0" fontId="1" fillId="4" borderId="3" xfId="0" applyFont="1" applyFill="1" applyBorder="1"/>
    <xf numFmtId="164" fontId="8" fillId="0" borderId="3" xfId="0" applyNumberFormat="1" applyFont="1" applyBorder="1" applyAlignment="1" applyProtection="1">
      <alignment horizontal="right" vertical="top" wrapText="1" readingOrder="1"/>
      <protection locked="0"/>
    </xf>
    <xf numFmtId="0" fontId="5" fillId="0" borderId="3" xfId="0" applyFont="1" applyBorder="1" applyAlignment="1" applyProtection="1">
      <alignment horizontal="center" vertical="top" wrapText="1" readingOrder="1"/>
      <protection locked="0"/>
    </xf>
    <xf numFmtId="9" fontId="3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9" fillId="4" borderId="1" xfId="0" applyFont="1" applyFill="1" applyBorder="1"/>
    <xf numFmtId="164" fontId="1" fillId="4" borderId="3" xfId="0" applyNumberFormat="1" applyFont="1" applyFill="1" applyBorder="1" applyAlignment="1">
      <alignment vertical="center"/>
    </xf>
    <xf numFmtId="164" fontId="1" fillId="0" borderId="17" xfId="0" applyNumberFormat="1" applyFont="1" applyBorder="1"/>
    <xf numFmtId="0" fontId="1" fillId="3" borderId="1" xfId="0" applyFont="1" applyFill="1" applyBorder="1"/>
    <xf numFmtId="164" fontId="1" fillId="3" borderId="3" xfId="0" applyNumberFormat="1" applyFont="1" applyFill="1" applyBorder="1"/>
    <xf numFmtId="0" fontId="1" fillId="3" borderId="2" xfId="0" applyFont="1" applyFill="1" applyBorder="1"/>
    <xf numFmtId="0" fontId="1" fillId="3" borderId="29" xfId="0" applyFont="1" applyFill="1" applyBorder="1"/>
    <xf numFmtId="0" fontId="9" fillId="4" borderId="3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 applyProtection="1">
      <alignment vertical="top" wrapText="1" readingOrder="1"/>
      <protection locked="0"/>
    </xf>
    <xf numFmtId="164" fontId="1" fillId="0" borderId="0" xfId="0" applyNumberFormat="1" applyFont="1" applyBorder="1"/>
    <xf numFmtId="0" fontId="9" fillId="4" borderId="1" xfId="0" applyFont="1" applyFill="1" applyBorder="1" applyAlignment="1">
      <alignment wrapText="1"/>
    </xf>
    <xf numFmtId="0" fontId="1" fillId="0" borderId="6" xfId="0" applyFont="1" applyBorder="1"/>
    <xf numFmtId="0" fontId="9" fillId="0" borderId="3" xfId="0" applyFont="1" applyBorder="1" applyAlignment="1">
      <alignment horizontal="center" wrapText="1"/>
    </xf>
    <xf numFmtId="9" fontId="1" fillId="0" borderId="3" xfId="0" applyNumberFormat="1" applyFont="1" applyBorder="1"/>
    <xf numFmtId="0" fontId="9" fillId="0" borderId="3" xfId="0" applyFont="1" applyBorder="1" applyAlignment="1">
      <alignment horizontal="center"/>
    </xf>
    <xf numFmtId="0" fontId="9" fillId="3" borderId="3" xfId="0" applyFont="1" applyFill="1" applyBorder="1" applyAlignment="1">
      <alignment horizontal="center" wrapText="1"/>
    </xf>
    <xf numFmtId="0" fontId="9" fillId="6" borderId="3" xfId="0" applyFont="1" applyFill="1" applyBorder="1" applyAlignment="1">
      <alignment horizontal="center" wrapText="1"/>
    </xf>
    <xf numFmtId="164" fontId="1" fillId="6" borderId="3" xfId="0" applyNumberFormat="1" applyFont="1" applyFill="1" applyBorder="1"/>
    <xf numFmtId="0" fontId="9" fillId="4" borderId="3" xfId="0" applyFont="1" applyFill="1" applyBorder="1" applyAlignment="1">
      <alignment horizontal="center" wrapText="1"/>
    </xf>
    <xf numFmtId="0" fontId="1" fillId="6" borderId="3" xfId="0" applyFont="1" applyFill="1" applyBorder="1" applyAlignment="1">
      <alignment horizontal="center"/>
    </xf>
    <xf numFmtId="9" fontId="0" fillId="0" borderId="3" xfId="0" applyNumberFormat="1" applyBorder="1"/>
    <xf numFmtId="3" fontId="1" fillId="6" borderId="3" xfId="0" applyNumberFormat="1" applyFont="1" applyFill="1" applyBorder="1"/>
    <xf numFmtId="0" fontId="1" fillId="6" borderId="3" xfId="0" applyFont="1" applyFill="1" applyBorder="1" applyAlignment="1">
      <alignment horizontal="center" wrapText="1"/>
    </xf>
    <xf numFmtId="0" fontId="9" fillId="0" borderId="0" xfId="0" applyFont="1" applyBorder="1" applyAlignment="1">
      <alignment horizontal="center" wrapText="1"/>
    </xf>
    <xf numFmtId="164" fontId="1" fillId="3" borderId="3" xfId="0" applyNumberFormat="1" applyFont="1" applyFill="1" applyBorder="1" applyAlignment="1">
      <alignment vertical="center"/>
    </xf>
    <xf numFmtId="164" fontId="1" fillId="6" borderId="3" xfId="0" applyNumberFormat="1" applyFont="1" applyFill="1" applyBorder="1" applyAlignment="1">
      <alignment vertical="center"/>
    </xf>
    <xf numFmtId="3" fontId="1" fillId="6" borderId="3" xfId="0" applyNumberFormat="1" applyFont="1" applyFill="1" applyBorder="1" applyAlignment="1">
      <alignment vertical="center"/>
    </xf>
    <xf numFmtId="0" fontId="5" fillId="7" borderId="10" xfId="0" applyFont="1" applyFill="1" applyBorder="1" applyAlignment="1" applyProtection="1">
      <alignment vertical="top" wrapText="1" readingOrder="1"/>
      <protection locked="0"/>
    </xf>
    <xf numFmtId="0" fontId="1" fillId="0" borderId="19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18" xfId="0" applyFont="1" applyBorder="1" applyAlignment="1" applyProtection="1">
      <alignment vertical="top" wrapText="1" readingOrder="1"/>
      <protection locked="0"/>
    </xf>
    <xf numFmtId="0" fontId="0" fillId="0" borderId="21" xfId="0" applyBorder="1"/>
    <xf numFmtId="0" fontId="0" fillId="0" borderId="16" xfId="0" applyBorder="1"/>
    <xf numFmtId="0" fontId="9" fillId="8" borderId="3" xfId="0" applyFont="1" applyFill="1" applyBorder="1" applyAlignment="1">
      <alignment horizontal="center" wrapText="1"/>
    </xf>
    <xf numFmtId="164" fontId="1" fillId="8" borderId="3" xfId="0" applyNumberFormat="1" applyFont="1" applyFill="1" applyBorder="1"/>
    <xf numFmtId="0" fontId="9" fillId="8" borderId="1" xfId="0" applyFont="1" applyFill="1" applyBorder="1" applyAlignment="1">
      <alignment horizontal="center"/>
    </xf>
    <xf numFmtId="164" fontId="1" fillId="8" borderId="17" xfId="0" applyNumberFormat="1" applyFont="1" applyFill="1" applyBorder="1"/>
    <xf numFmtId="0" fontId="1" fillId="4" borderId="3" xfId="0" applyFont="1" applyFill="1" applyBorder="1" applyAlignment="1">
      <alignment horizontal="center"/>
    </xf>
    <xf numFmtId="0" fontId="1" fillId="4" borderId="30" xfId="0" applyFont="1" applyFill="1" applyBorder="1"/>
    <xf numFmtId="0" fontId="1" fillId="4" borderId="31" xfId="0" applyFont="1" applyFill="1" applyBorder="1"/>
    <xf numFmtId="0" fontId="0" fillId="4" borderId="0" xfId="0" applyFill="1" applyAlignment="1">
      <alignment horizontal="center"/>
    </xf>
    <xf numFmtId="164" fontId="1" fillId="4" borderId="3" xfId="0" applyNumberFormat="1" applyFont="1" applyFill="1" applyBorder="1" applyAlignment="1">
      <alignment horizontal="right"/>
    </xf>
    <xf numFmtId="0" fontId="1" fillId="4" borderId="6" xfId="0" applyFont="1" applyFill="1" applyBorder="1" applyAlignment="1">
      <alignment horizontal="right"/>
    </xf>
    <xf numFmtId="164" fontId="5" fillId="4" borderId="22" xfId="0" applyNumberFormat="1" applyFont="1" applyFill="1" applyBorder="1" applyAlignment="1" applyProtection="1">
      <alignment horizontal="right" vertical="top" wrapText="1" readingOrder="1"/>
      <protection locked="0"/>
    </xf>
    <xf numFmtId="164" fontId="5" fillId="4" borderId="14" xfId="0" applyNumberFormat="1" applyFont="1" applyFill="1" applyBorder="1" applyAlignment="1" applyProtection="1">
      <alignment horizontal="right" vertical="top" wrapText="1" readingOrder="1"/>
      <protection locked="0"/>
    </xf>
    <xf numFmtId="164" fontId="5" fillId="4" borderId="15" xfId="0" applyNumberFormat="1" applyFont="1" applyFill="1" applyBorder="1" applyAlignment="1" applyProtection="1">
      <alignment horizontal="right" vertical="top" wrapText="1" readingOrder="1"/>
      <protection locked="0"/>
    </xf>
    <xf numFmtId="0" fontId="9" fillId="9" borderId="3" xfId="0" applyFont="1" applyFill="1" applyBorder="1" applyAlignment="1">
      <alignment horizontal="center" wrapText="1"/>
    </xf>
    <xf numFmtId="164" fontId="1" fillId="9" borderId="6" xfId="0" applyNumberFormat="1" applyFont="1" applyFill="1" applyBorder="1"/>
    <xf numFmtId="164" fontId="5" fillId="9" borderId="10" xfId="0" applyNumberFormat="1" applyFont="1" applyFill="1" applyBorder="1" applyAlignment="1" applyProtection="1">
      <alignment horizontal="right" vertical="top" wrapText="1" readingOrder="1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opLeftCell="A22" workbookViewId="0">
      <selection activeCell="P12" sqref="P12"/>
    </sheetView>
  </sheetViews>
  <sheetFormatPr baseColWidth="10" defaultRowHeight="15" x14ac:dyDescent="0.25"/>
  <cols>
    <col min="2" max="2" width="6.42578125" customWidth="1"/>
    <col min="3" max="3" width="10" customWidth="1"/>
    <col min="4" max="4" width="23.7109375" customWidth="1"/>
    <col min="5" max="5" width="9" customWidth="1"/>
    <col min="6" max="6" width="10.85546875" customWidth="1"/>
    <col min="7" max="7" width="8.85546875" customWidth="1"/>
    <col min="8" max="8" width="9.85546875" customWidth="1"/>
    <col min="9" max="9" width="9.28515625" customWidth="1"/>
    <col min="10" max="10" width="10.42578125" customWidth="1"/>
    <col min="11" max="11" width="9.5703125" customWidth="1"/>
    <col min="12" max="12" width="10" customWidth="1"/>
    <col min="13" max="13" width="8.140625" customWidth="1"/>
  </cols>
  <sheetData>
    <row r="1" spans="1:13" ht="15.75" thickBo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.75" thickBot="1" x14ac:dyDescent="0.3">
      <c r="B2" s="101" t="s">
        <v>45</v>
      </c>
      <c r="C2" s="102"/>
      <c r="D2" s="103"/>
      <c r="E2" s="7"/>
      <c r="F2" s="7"/>
      <c r="G2" s="7"/>
      <c r="H2" s="7"/>
      <c r="I2" s="7"/>
      <c r="J2" s="30">
        <v>1</v>
      </c>
      <c r="K2" s="10">
        <v>2</v>
      </c>
      <c r="L2" s="30">
        <v>3</v>
      </c>
      <c r="M2" s="1"/>
    </row>
    <row r="3" spans="1:13" ht="23.25" thickBot="1" x14ac:dyDescent="0.3">
      <c r="B3" s="9" t="s">
        <v>0</v>
      </c>
      <c r="C3" s="6" t="s">
        <v>1</v>
      </c>
      <c r="D3" s="6" t="s">
        <v>2</v>
      </c>
      <c r="E3" s="6" t="s">
        <v>3</v>
      </c>
      <c r="F3" s="17" t="s">
        <v>4</v>
      </c>
      <c r="G3" s="6" t="s">
        <v>5</v>
      </c>
      <c r="H3" s="17" t="s">
        <v>6</v>
      </c>
      <c r="I3" s="6" t="s">
        <v>7</v>
      </c>
      <c r="J3" s="19" t="s">
        <v>44</v>
      </c>
      <c r="K3" s="18" t="s">
        <v>8</v>
      </c>
      <c r="L3" s="19" t="s">
        <v>9</v>
      </c>
      <c r="M3" s="31" t="s">
        <v>10</v>
      </c>
    </row>
    <row r="4" spans="1:13" ht="12.75" customHeight="1" x14ac:dyDescent="0.25">
      <c r="A4">
        <v>1</v>
      </c>
      <c r="B4" s="32">
        <v>42315</v>
      </c>
      <c r="C4" s="58" t="s">
        <v>11</v>
      </c>
      <c r="D4" s="58" t="s">
        <v>12</v>
      </c>
      <c r="E4" s="57">
        <v>45204</v>
      </c>
      <c r="F4" s="24">
        <v>160000</v>
      </c>
      <c r="G4" s="55">
        <v>0</v>
      </c>
      <c r="H4" s="24">
        <v>160000</v>
      </c>
      <c r="I4" s="56">
        <v>3</v>
      </c>
      <c r="J4" s="62">
        <v>53333</v>
      </c>
      <c r="K4" s="24">
        <v>53333</v>
      </c>
      <c r="L4" s="55">
        <v>53333</v>
      </c>
      <c r="M4" s="11"/>
    </row>
    <row r="5" spans="1:13" ht="12.75" customHeight="1" x14ac:dyDescent="0.25">
      <c r="A5">
        <v>2</v>
      </c>
      <c r="B5" s="33">
        <v>42318</v>
      </c>
      <c r="C5" s="33" t="s">
        <v>13</v>
      </c>
      <c r="D5" s="33" t="s">
        <v>14</v>
      </c>
      <c r="E5" s="36">
        <v>45204</v>
      </c>
      <c r="F5" s="20">
        <v>189900</v>
      </c>
      <c r="G5" s="14">
        <v>0</v>
      </c>
      <c r="H5" s="20">
        <v>189900</v>
      </c>
      <c r="I5" s="53">
        <v>3</v>
      </c>
      <c r="J5" s="61">
        <v>63300</v>
      </c>
      <c r="K5" s="20">
        <v>63300</v>
      </c>
      <c r="L5" s="14">
        <v>63300</v>
      </c>
      <c r="M5" s="12"/>
    </row>
    <row r="6" spans="1:13" ht="13.5" customHeight="1" x14ac:dyDescent="0.25">
      <c r="A6" s="1">
        <v>3</v>
      </c>
      <c r="B6" s="33">
        <v>42303</v>
      </c>
      <c r="C6" s="33" t="s">
        <v>15</v>
      </c>
      <c r="D6" s="33" t="s">
        <v>16</v>
      </c>
      <c r="E6" s="36">
        <v>45204</v>
      </c>
      <c r="F6" s="20">
        <v>144000</v>
      </c>
      <c r="G6" s="14">
        <v>139999</v>
      </c>
      <c r="H6" s="20">
        <v>4001</v>
      </c>
      <c r="I6" s="53">
        <v>1</v>
      </c>
      <c r="J6" s="63">
        <v>4001</v>
      </c>
      <c r="K6" s="34">
        <v>0</v>
      </c>
      <c r="L6" s="54">
        <v>0</v>
      </c>
      <c r="M6" s="12"/>
    </row>
    <row r="7" spans="1:13" x14ac:dyDescent="0.25">
      <c r="A7" s="1">
        <v>4</v>
      </c>
      <c r="B7" s="33">
        <v>42309</v>
      </c>
      <c r="C7" s="33" t="s">
        <v>17</v>
      </c>
      <c r="D7" s="33" t="s">
        <v>54</v>
      </c>
      <c r="E7" s="36">
        <v>45204</v>
      </c>
      <c r="F7" s="20">
        <v>85000</v>
      </c>
      <c r="G7" s="14">
        <v>0</v>
      </c>
      <c r="H7" s="20">
        <v>85000</v>
      </c>
      <c r="I7" s="53">
        <v>3</v>
      </c>
      <c r="J7" s="61">
        <v>28333</v>
      </c>
      <c r="K7" s="20">
        <v>28333</v>
      </c>
      <c r="L7" s="14">
        <v>28333</v>
      </c>
      <c r="M7" s="12"/>
    </row>
    <row r="8" spans="1:13" x14ac:dyDescent="0.25">
      <c r="A8" s="1">
        <v>5</v>
      </c>
      <c r="B8" s="33">
        <v>42310</v>
      </c>
      <c r="C8" s="33" t="s">
        <v>17</v>
      </c>
      <c r="D8" s="33" t="s">
        <v>54</v>
      </c>
      <c r="E8" s="36">
        <v>45204</v>
      </c>
      <c r="F8" s="20">
        <v>48000</v>
      </c>
      <c r="G8" s="14">
        <v>0</v>
      </c>
      <c r="H8" s="20">
        <v>48000</v>
      </c>
      <c r="I8" s="53">
        <v>3</v>
      </c>
      <c r="J8" s="61">
        <v>16000</v>
      </c>
      <c r="K8" s="20">
        <v>16000</v>
      </c>
      <c r="L8" s="14">
        <v>16000</v>
      </c>
      <c r="M8" s="12"/>
    </row>
    <row r="9" spans="1:13" x14ac:dyDescent="0.25">
      <c r="A9" s="1">
        <v>6</v>
      </c>
      <c r="B9" s="33">
        <v>42313</v>
      </c>
      <c r="C9" s="33" t="s">
        <v>17</v>
      </c>
      <c r="D9" s="33" t="s">
        <v>54</v>
      </c>
      <c r="E9" s="36">
        <v>45204</v>
      </c>
      <c r="F9" s="20">
        <v>125000</v>
      </c>
      <c r="G9" s="14">
        <v>0</v>
      </c>
      <c r="H9" s="20">
        <v>125000</v>
      </c>
      <c r="I9" s="53">
        <v>3</v>
      </c>
      <c r="J9" s="61">
        <v>41667</v>
      </c>
      <c r="K9" s="20">
        <v>41667</v>
      </c>
      <c r="L9" s="14">
        <v>41667</v>
      </c>
      <c r="M9" s="12"/>
    </row>
    <row r="10" spans="1:13" x14ac:dyDescent="0.25">
      <c r="A10" s="1">
        <v>7</v>
      </c>
      <c r="B10" s="33">
        <v>42314</v>
      </c>
      <c r="C10" s="33" t="s">
        <v>17</v>
      </c>
      <c r="D10" s="33" t="s">
        <v>54</v>
      </c>
      <c r="E10" s="36">
        <v>45204</v>
      </c>
      <c r="F10" s="20">
        <v>170000</v>
      </c>
      <c r="G10" s="14">
        <v>0</v>
      </c>
      <c r="H10" s="20">
        <v>170000</v>
      </c>
      <c r="I10" s="53">
        <v>3</v>
      </c>
      <c r="J10" s="61">
        <v>56667</v>
      </c>
      <c r="K10" s="20">
        <v>56667</v>
      </c>
      <c r="L10" s="14">
        <v>56667</v>
      </c>
      <c r="M10" s="12"/>
    </row>
    <row r="11" spans="1:13" x14ac:dyDescent="0.25">
      <c r="A11" s="1">
        <v>8</v>
      </c>
      <c r="B11" s="33">
        <v>42317</v>
      </c>
      <c r="C11" s="33" t="s">
        <v>17</v>
      </c>
      <c r="D11" s="33" t="s">
        <v>54</v>
      </c>
      <c r="E11" s="36">
        <v>45204</v>
      </c>
      <c r="F11" s="20">
        <v>50000</v>
      </c>
      <c r="G11" s="14">
        <v>0</v>
      </c>
      <c r="H11" s="20">
        <v>50000</v>
      </c>
      <c r="I11" s="53">
        <v>3</v>
      </c>
      <c r="J11" s="61">
        <v>16667</v>
      </c>
      <c r="K11" s="20">
        <v>16667</v>
      </c>
      <c r="L11" s="14">
        <v>16667</v>
      </c>
      <c r="M11" s="12"/>
    </row>
    <row r="12" spans="1:13" ht="12.75" customHeight="1" x14ac:dyDescent="0.25">
      <c r="A12" s="1">
        <v>9</v>
      </c>
      <c r="B12" s="33">
        <v>42307</v>
      </c>
      <c r="C12" s="33" t="s">
        <v>18</v>
      </c>
      <c r="D12" s="8" t="s">
        <v>19</v>
      </c>
      <c r="E12" s="36">
        <v>45204</v>
      </c>
      <c r="F12" s="20">
        <v>130000</v>
      </c>
      <c r="G12" s="14">
        <v>0</v>
      </c>
      <c r="H12" s="20">
        <v>150000</v>
      </c>
      <c r="I12" s="53">
        <v>3</v>
      </c>
      <c r="J12" s="61">
        <v>50000</v>
      </c>
      <c r="K12" s="20">
        <v>50000</v>
      </c>
      <c r="L12" s="14">
        <v>50000</v>
      </c>
      <c r="M12" s="12"/>
    </row>
    <row r="13" spans="1:13" ht="12.75" customHeight="1" x14ac:dyDescent="0.25">
      <c r="A13" s="1">
        <v>10</v>
      </c>
      <c r="B13" s="33">
        <v>42305</v>
      </c>
      <c r="C13" s="33" t="s">
        <v>20</v>
      </c>
      <c r="D13" s="33" t="s">
        <v>21</v>
      </c>
      <c r="E13" s="36">
        <v>45204</v>
      </c>
      <c r="F13" s="20">
        <v>110000</v>
      </c>
      <c r="G13" s="14">
        <v>0</v>
      </c>
      <c r="H13" s="20">
        <v>110000</v>
      </c>
      <c r="I13" s="53">
        <v>3</v>
      </c>
      <c r="J13" s="61">
        <v>36667</v>
      </c>
      <c r="K13" s="20">
        <v>36667</v>
      </c>
      <c r="L13" s="14">
        <v>36667</v>
      </c>
      <c r="M13" s="12"/>
    </row>
    <row r="14" spans="1:13" ht="14.25" customHeight="1" x14ac:dyDescent="0.25">
      <c r="A14" s="1">
        <v>11</v>
      </c>
      <c r="B14" s="33">
        <v>42316</v>
      </c>
      <c r="C14" s="33" t="s">
        <v>22</v>
      </c>
      <c r="D14" s="33" t="s">
        <v>55</v>
      </c>
      <c r="E14" s="36">
        <v>45204</v>
      </c>
      <c r="F14" s="20">
        <v>140000</v>
      </c>
      <c r="G14" s="14">
        <v>40000</v>
      </c>
      <c r="H14" s="20">
        <v>100000</v>
      </c>
      <c r="I14" s="53">
        <v>3</v>
      </c>
      <c r="J14" s="61">
        <v>33333</v>
      </c>
      <c r="K14" s="20">
        <v>33333</v>
      </c>
      <c r="L14" s="14">
        <v>33333</v>
      </c>
      <c r="M14" s="12"/>
    </row>
    <row r="15" spans="1:13" ht="13.5" customHeight="1" x14ac:dyDescent="0.25">
      <c r="A15" s="1">
        <v>12</v>
      </c>
      <c r="B15" s="33">
        <v>42306</v>
      </c>
      <c r="C15" s="33" t="s">
        <v>23</v>
      </c>
      <c r="D15" s="33" t="s">
        <v>24</v>
      </c>
      <c r="E15" s="36">
        <v>45204</v>
      </c>
      <c r="F15" s="20">
        <v>195000</v>
      </c>
      <c r="G15" s="14">
        <v>0</v>
      </c>
      <c r="H15" s="20">
        <v>195000</v>
      </c>
      <c r="I15" s="53">
        <v>3</v>
      </c>
      <c r="J15" s="61">
        <v>65000</v>
      </c>
      <c r="K15" s="20">
        <v>65000</v>
      </c>
      <c r="L15" s="14">
        <v>65000</v>
      </c>
      <c r="M15" s="12"/>
    </row>
    <row r="16" spans="1:13" ht="14.25" customHeight="1" x14ac:dyDescent="0.25">
      <c r="A16" s="1">
        <v>13</v>
      </c>
      <c r="B16" s="33">
        <v>42321</v>
      </c>
      <c r="C16" s="33" t="s">
        <v>25</v>
      </c>
      <c r="D16" s="33" t="s">
        <v>26</v>
      </c>
      <c r="E16" s="36">
        <v>45204</v>
      </c>
      <c r="F16" s="20">
        <v>90000</v>
      </c>
      <c r="G16" s="14">
        <v>0</v>
      </c>
      <c r="H16" s="20">
        <v>90000</v>
      </c>
      <c r="I16" s="53">
        <v>3</v>
      </c>
      <c r="J16" s="61">
        <v>30000</v>
      </c>
      <c r="K16" s="20">
        <v>30000</v>
      </c>
      <c r="L16" s="14">
        <v>30000</v>
      </c>
      <c r="M16" s="12"/>
    </row>
    <row r="17" spans="1:13" ht="12.75" customHeight="1" x14ac:dyDescent="0.25">
      <c r="A17" s="1">
        <v>14</v>
      </c>
      <c r="B17" s="33">
        <v>42308</v>
      </c>
      <c r="C17" s="33" t="s">
        <v>27</v>
      </c>
      <c r="D17" s="33" t="s">
        <v>56</v>
      </c>
      <c r="E17" s="36">
        <v>45204</v>
      </c>
      <c r="F17" s="20">
        <v>170000</v>
      </c>
      <c r="G17" s="14">
        <v>0</v>
      </c>
      <c r="H17" s="20">
        <v>170000</v>
      </c>
      <c r="I17" s="53">
        <v>3</v>
      </c>
      <c r="J17" s="61">
        <v>56667</v>
      </c>
      <c r="K17" s="20">
        <v>56667</v>
      </c>
      <c r="L17" s="14">
        <v>56667</v>
      </c>
      <c r="M17" s="12"/>
    </row>
    <row r="18" spans="1:13" ht="13.5" customHeight="1" x14ac:dyDescent="0.25">
      <c r="A18" s="1">
        <v>15</v>
      </c>
      <c r="B18" s="33">
        <v>42311</v>
      </c>
      <c r="C18" s="33" t="s">
        <v>28</v>
      </c>
      <c r="D18" s="33" t="s">
        <v>29</v>
      </c>
      <c r="E18" s="36">
        <v>45204</v>
      </c>
      <c r="F18" s="20">
        <v>130000</v>
      </c>
      <c r="G18" s="14">
        <v>0</v>
      </c>
      <c r="H18" s="20">
        <v>130000</v>
      </c>
      <c r="I18" s="53">
        <v>3</v>
      </c>
      <c r="J18" s="61">
        <v>43333</v>
      </c>
      <c r="K18" s="20">
        <v>43333</v>
      </c>
      <c r="L18" s="14">
        <v>43333</v>
      </c>
      <c r="M18" s="12"/>
    </row>
    <row r="19" spans="1:13" ht="13.5" customHeight="1" x14ac:dyDescent="0.25">
      <c r="A19" s="1">
        <v>16</v>
      </c>
      <c r="B19" s="33">
        <v>42302</v>
      </c>
      <c r="C19" s="33" t="s">
        <v>30</v>
      </c>
      <c r="D19" s="33" t="s">
        <v>57</v>
      </c>
      <c r="E19" s="36">
        <v>45204</v>
      </c>
      <c r="F19" s="20">
        <v>85000</v>
      </c>
      <c r="G19" s="14">
        <v>0</v>
      </c>
      <c r="H19" s="20">
        <v>85000</v>
      </c>
      <c r="I19" s="53">
        <v>3</v>
      </c>
      <c r="J19" s="61">
        <v>28333</v>
      </c>
      <c r="K19" s="20">
        <v>28333</v>
      </c>
      <c r="L19" s="14">
        <v>28333</v>
      </c>
      <c r="M19" s="12"/>
    </row>
    <row r="20" spans="1:13" ht="12.75" customHeight="1" x14ac:dyDescent="0.25">
      <c r="A20" s="1">
        <v>17</v>
      </c>
      <c r="B20" s="33">
        <v>42059</v>
      </c>
      <c r="C20" s="33" t="s">
        <v>31</v>
      </c>
      <c r="D20" s="79" t="s">
        <v>32</v>
      </c>
      <c r="E20" s="36">
        <v>45205</v>
      </c>
      <c r="F20" s="20">
        <v>80000</v>
      </c>
      <c r="G20" s="14">
        <v>0</v>
      </c>
      <c r="H20" s="20">
        <v>80000</v>
      </c>
      <c r="I20" s="53">
        <v>3</v>
      </c>
      <c r="J20" s="63">
        <v>26667</v>
      </c>
      <c r="K20" s="20">
        <v>26667</v>
      </c>
      <c r="L20" s="14">
        <v>26667</v>
      </c>
      <c r="M20" s="12"/>
    </row>
    <row r="21" spans="1:13" ht="11.25" customHeight="1" x14ac:dyDescent="0.25">
      <c r="A21" s="1">
        <v>18</v>
      </c>
      <c r="B21" s="33">
        <v>42320</v>
      </c>
      <c r="C21" s="33" t="s">
        <v>33</v>
      </c>
      <c r="D21" s="8" t="s">
        <v>58</v>
      </c>
      <c r="E21" s="36">
        <v>45204</v>
      </c>
      <c r="F21" s="20">
        <v>120000</v>
      </c>
      <c r="G21" s="14">
        <v>0</v>
      </c>
      <c r="H21" s="20">
        <v>120000</v>
      </c>
      <c r="I21" s="53">
        <v>3</v>
      </c>
      <c r="J21" s="61">
        <v>40000</v>
      </c>
      <c r="K21" s="20">
        <v>40000</v>
      </c>
      <c r="L21" s="14">
        <v>40000</v>
      </c>
      <c r="M21" s="12"/>
    </row>
    <row r="22" spans="1:13" x14ac:dyDescent="0.25">
      <c r="A22" s="1">
        <v>19</v>
      </c>
      <c r="B22" s="33">
        <v>42323</v>
      </c>
      <c r="C22" s="33" t="s">
        <v>34</v>
      </c>
      <c r="D22" s="33" t="s">
        <v>35</v>
      </c>
      <c r="E22" s="36">
        <v>45204</v>
      </c>
      <c r="F22" s="20">
        <v>30000</v>
      </c>
      <c r="G22" s="14">
        <v>0</v>
      </c>
      <c r="H22" s="20">
        <v>30000</v>
      </c>
      <c r="I22" s="53">
        <v>3</v>
      </c>
      <c r="J22" s="61">
        <v>10000</v>
      </c>
      <c r="K22" s="20">
        <v>10000</v>
      </c>
      <c r="L22" s="14">
        <v>10000</v>
      </c>
      <c r="M22" s="12"/>
    </row>
    <row r="23" spans="1:13" x14ac:dyDescent="0.25">
      <c r="A23" s="1">
        <v>20</v>
      </c>
      <c r="B23" s="33">
        <v>42301</v>
      </c>
      <c r="C23" s="33" t="s">
        <v>36</v>
      </c>
      <c r="D23" s="33" t="s">
        <v>37</v>
      </c>
      <c r="E23" s="36">
        <v>45204</v>
      </c>
      <c r="F23" s="20">
        <v>85000</v>
      </c>
      <c r="G23" s="14">
        <v>0</v>
      </c>
      <c r="H23" s="20">
        <v>85000</v>
      </c>
      <c r="I23" s="53">
        <v>3</v>
      </c>
      <c r="J23" s="61">
        <v>28333</v>
      </c>
      <c r="K23" s="20">
        <v>28333</v>
      </c>
      <c r="L23" s="14">
        <v>28333</v>
      </c>
      <c r="M23" s="12"/>
    </row>
    <row r="24" spans="1:13" ht="15.75" thickBot="1" x14ac:dyDescent="0.3">
      <c r="A24" s="1">
        <v>21</v>
      </c>
      <c r="B24" s="35">
        <v>42319</v>
      </c>
      <c r="C24" s="35" t="s">
        <v>36</v>
      </c>
      <c r="D24" s="35" t="s">
        <v>37</v>
      </c>
      <c r="E24" s="37">
        <v>45204</v>
      </c>
      <c r="F24" s="25">
        <v>140000</v>
      </c>
      <c r="G24" s="15">
        <v>0</v>
      </c>
      <c r="H24" s="25">
        <v>140000</v>
      </c>
      <c r="I24" s="52">
        <v>3</v>
      </c>
      <c r="J24" s="60">
        <v>46667</v>
      </c>
      <c r="K24" s="25">
        <v>46667</v>
      </c>
      <c r="L24" s="38">
        <v>46667</v>
      </c>
      <c r="M24" s="13"/>
    </row>
    <row r="25" spans="1:13" ht="15.75" thickBot="1" x14ac:dyDescent="0.3">
      <c r="B25" s="21"/>
      <c r="C25" s="21"/>
      <c r="D25" s="21"/>
      <c r="E25" s="22"/>
      <c r="F25" s="28">
        <f>SUM(F4:F24)</f>
        <v>2476900</v>
      </c>
      <c r="G25" s="51">
        <f>SUM(G4:G24)</f>
        <v>179999</v>
      </c>
      <c r="H25" s="28">
        <f>SUM(H4:H24)</f>
        <v>2316901</v>
      </c>
      <c r="I25" s="59"/>
      <c r="J25" s="28">
        <f>SUM(J4:J24)</f>
        <v>774968</v>
      </c>
      <c r="K25" s="51">
        <f>SUM(K4:K24)</f>
        <v>770967</v>
      </c>
      <c r="L25" s="28">
        <f>SUM(L4:L24)</f>
        <v>770967</v>
      </c>
      <c r="M25" s="1"/>
    </row>
    <row r="26" spans="1:13" ht="15.75" thickBot="1" x14ac:dyDescent="0.3">
      <c r="B26" s="1"/>
      <c r="C26" s="1"/>
      <c r="D26" s="1"/>
      <c r="E26" s="1"/>
      <c r="F26" s="1"/>
      <c r="G26" s="1"/>
      <c r="H26" s="1"/>
      <c r="I26" s="65" t="s">
        <v>46</v>
      </c>
      <c r="J26" s="64">
        <v>100000</v>
      </c>
      <c r="K26" s="2"/>
      <c r="L26" s="5"/>
      <c r="M26" s="1"/>
    </row>
    <row r="27" spans="1:13" ht="15.75" thickBot="1" x14ac:dyDescent="0.3">
      <c r="B27" s="1"/>
      <c r="C27" s="1"/>
      <c r="D27" s="1"/>
      <c r="E27" s="1"/>
      <c r="F27" s="1"/>
      <c r="G27" s="1"/>
      <c r="H27" s="1"/>
      <c r="I27" s="67" t="s">
        <v>47</v>
      </c>
      <c r="J27" s="66">
        <v>611000</v>
      </c>
      <c r="K27" s="29"/>
      <c r="L27" s="4"/>
      <c r="M27" s="1"/>
    </row>
    <row r="28" spans="1:13" ht="15.75" thickBot="1" x14ac:dyDescent="0.3">
      <c r="B28" s="39" t="s">
        <v>38</v>
      </c>
      <c r="C28" s="40"/>
      <c r="D28" s="1"/>
      <c r="E28" s="1"/>
      <c r="F28" s="1"/>
      <c r="G28" s="1"/>
      <c r="H28" s="23"/>
      <c r="I28" s="71" t="s">
        <v>50</v>
      </c>
      <c r="J28" s="64">
        <f>J26+J27</f>
        <v>711000</v>
      </c>
      <c r="K28" s="23"/>
      <c r="L28" s="23"/>
      <c r="M28" s="23"/>
    </row>
    <row r="29" spans="1:13" ht="22.5" customHeight="1" thickBot="1" x14ac:dyDescent="0.3">
      <c r="B29" s="50">
        <v>42312</v>
      </c>
      <c r="C29" s="49" t="s">
        <v>39</v>
      </c>
      <c r="D29" s="49" t="s">
        <v>40</v>
      </c>
      <c r="E29" s="48">
        <v>45204</v>
      </c>
      <c r="F29" s="47">
        <v>139500</v>
      </c>
      <c r="G29" s="16">
        <v>139499</v>
      </c>
      <c r="H29" s="26"/>
      <c r="I29" s="69" t="s">
        <v>48</v>
      </c>
      <c r="J29" s="68">
        <f>J4+J5+J7+J8+J9+J10+J11+J12+J13+J14+J15+J16+J17+J18+J19+J21+J22+J23+J24</f>
        <v>744300</v>
      </c>
      <c r="K29" s="27"/>
      <c r="L29" s="27"/>
      <c r="M29" s="23"/>
    </row>
    <row r="30" spans="1:13" ht="15.75" thickBot="1" x14ac:dyDescent="0.3">
      <c r="B30" s="46">
        <v>42304</v>
      </c>
      <c r="C30" s="45" t="s">
        <v>41</v>
      </c>
      <c r="D30" s="45" t="s">
        <v>42</v>
      </c>
      <c r="E30" s="44">
        <v>45204</v>
      </c>
      <c r="F30" s="43">
        <v>20000</v>
      </c>
      <c r="G30" s="38">
        <v>19999</v>
      </c>
      <c r="H30" s="26"/>
      <c r="I30" s="70">
        <v>0.1</v>
      </c>
      <c r="J30" s="28">
        <v>74429</v>
      </c>
      <c r="K30" s="27"/>
      <c r="L30" s="27"/>
      <c r="M30" s="23"/>
    </row>
    <row r="31" spans="1:13" ht="15.75" thickBot="1" x14ac:dyDescent="0.3">
      <c r="B31" s="1"/>
      <c r="C31" s="1"/>
      <c r="D31" s="1"/>
      <c r="E31" s="1"/>
      <c r="F31" s="1"/>
      <c r="G31" s="42">
        <v>159498</v>
      </c>
      <c r="H31" s="23"/>
      <c r="I31" s="23"/>
      <c r="J31" s="73">
        <f>J29-J30</f>
        <v>669871</v>
      </c>
      <c r="K31" s="23"/>
      <c r="L31" s="23"/>
      <c r="M31" s="23"/>
    </row>
    <row r="32" spans="1:13" ht="15.75" thickBot="1" x14ac:dyDescent="0.3">
      <c r="F32" s="1"/>
      <c r="G32" s="41" t="s">
        <v>43</v>
      </c>
      <c r="H32" s="23"/>
      <c r="I32" s="74" t="s">
        <v>52</v>
      </c>
      <c r="J32" s="75">
        <f>J6+J20</f>
        <v>30668</v>
      </c>
      <c r="K32" s="23"/>
      <c r="L32" s="23"/>
      <c r="M32" s="23"/>
    </row>
    <row r="33" spans="3:13" ht="15.75" thickBot="1" x14ac:dyDescent="0.3">
      <c r="F33" s="3">
        <v>2656400</v>
      </c>
      <c r="G33" s="1"/>
      <c r="H33" s="1"/>
      <c r="K33" s="1"/>
      <c r="L33" s="1"/>
      <c r="M33" s="1"/>
    </row>
    <row r="34" spans="3:13" ht="23.25" thickBot="1" x14ac:dyDescent="0.3">
      <c r="C34" t="s">
        <v>54</v>
      </c>
      <c r="I34" s="78" t="s">
        <v>49</v>
      </c>
      <c r="J34" s="72">
        <f>J28-J31</f>
        <v>41129</v>
      </c>
    </row>
    <row r="35" spans="3:13" ht="15.75" thickBot="1" x14ac:dyDescent="0.3">
      <c r="C35" t="s">
        <v>51</v>
      </c>
    </row>
    <row r="36" spans="3:13" ht="15.75" thickBot="1" x14ac:dyDescent="0.3">
      <c r="D36" s="74" t="s">
        <v>53</v>
      </c>
      <c r="E36" s="76"/>
      <c r="F36" s="77"/>
    </row>
  </sheetData>
  <mergeCells count="1">
    <mergeCell ref="B2:D2"/>
  </mergeCells>
  <pageMargins left="0.70866141732283472" right="0.70866141732283472" top="0.74803149606299213" bottom="0.74803149606299213" header="0.31496062992125984" footer="0.31496062992125984"/>
  <pageSetup paperSize="9" scale="8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40"/>
  <sheetViews>
    <sheetView tabSelected="1" topLeftCell="A25" workbookViewId="0">
      <selection activeCell="P7" sqref="P7"/>
    </sheetView>
  </sheetViews>
  <sheetFormatPr baseColWidth="10" defaultRowHeight="15" x14ac:dyDescent="0.25"/>
  <cols>
    <col min="1" max="1" width="7.5703125" customWidth="1"/>
    <col min="2" max="2" width="6.7109375" customWidth="1"/>
    <col min="3" max="3" width="10.5703125" customWidth="1"/>
    <col min="4" max="4" width="23.42578125" customWidth="1"/>
    <col min="6" max="6" width="12.42578125" customWidth="1"/>
    <col min="7" max="7" width="10" customWidth="1"/>
    <col min="8" max="8" width="9.7109375" customWidth="1"/>
    <col min="9" max="9" width="12.140625" customWidth="1"/>
    <col min="10" max="10" width="10.42578125" customWidth="1"/>
    <col min="11" max="11" width="11.28515625" customWidth="1"/>
    <col min="12" max="12" width="15.28515625" customWidth="1"/>
    <col min="13" max="13" width="9.42578125" customWidth="1"/>
    <col min="14" max="14" width="4.85546875" customWidth="1"/>
  </cols>
  <sheetData>
    <row r="1" spans="2:14" ht="15.75" thickBot="1" x14ac:dyDescent="0.3"/>
    <row r="2" spans="2:14" ht="15.75" thickBot="1" x14ac:dyDescent="0.3">
      <c r="B2" s="101" t="s">
        <v>45</v>
      </c>
      <c r="C2" s="102"/>
      <c r="D2" s="103"/>
      <c r="E2" s="7"/>
      <c r="F2" s="7"/>
      <c r="G2" s="7"/>
      <c r="H2" s="7"/>
      <c r="I2" s="7"/>
      <c r="J2" s="30">
        <v>1</v>
      </c>
      <c r="K2" s="10">
        <v>2</v>
      </c>
      <c r="L2" s="30">
        <v>3</v>
      </c>
      <c r="M2" s="1"/>
      <c r="N2" s="1"/>
    </row>
    <row r="3" spans="2:14" ht="23.25" thickBot="1" x14ac:dyDescent="0.3">
      <c r="B3" s="9" t="s">
        <v>0</v>
      </c>
      <c r="C3" s="6" t="s">
        <v>1</v>
      </c>
      <c r="D3" s="6" t="s">
        <v>2</v>
      </c>
      <c r="E3" s="6" t="s">
        <v>3</v>
      </c>
      <c r="F3" s="17" t="s">
        <v>4</v>
      </c>
      <c r="G3" s="6" t="s">
        <v>5</v>
      </c>
      <c r="H3" s="17" t="s">
        <v>6</v>
      </c>
      <c r="I3" s="6" t="s">
        <v>7</v>
      </c>
      <c r="J3" s="19" t="s">
        <v>44</v>
      </c>
      <c r="K3" s="18" t="s">
        <v>8</v>
      </c>
      <c r="L3" s="19" t="s">
        <v>9</v>
      </c>
      <c r="M3" s="31" t="s">
        <v>72</v>
      </c>
      <c r="N3" s="1"/>
    </row>
    <row r="4" spans="2:14" x14ac:dyDescent="0.25">
      <c r="B4" s="32">
        <v>42315</v>
      </c>
      <c r="C4" s="58" t="s">
        <v>11</v>
      </c>
      <c r="D4" s="58" t="s">
        <v>12</v>
      </c>
      <c r="E4" s="57">
        <v>45204</v>
      </c>
      <c r="F4" s="24">
        <v>160000</v>
      </c>
      <c r="G4" s="55">
        <v>0</v>
      </c>
      <c r="H4" s="24">
        <v>160000</v>
      </c>
      <c r="I4" s="56">
        <v>3</v>
      </c>
      <c r="J4" s="62">
        <v>53333</v>
      </c>
      <c r="K4" s="114">
        <v>53333</v>
      </c>
      <c r="L4" s="62">
        <v>53333</v>
      </c>
      <c r="M4" s="99">
        <v>3460</v>
      </c>
      <c r="N4" s="1"/>
    </row>
    <row r="5" spans="2:14" x14ac:dyDescent="0.25">
      <c r="B5" s="33">
        <v>42318</v>
      </c>
      <c r="C5" s="33" t="s">
        <v>13</v>
      </c>
      <c r="D5" s="33" t="s">
        <v>14</v>
      </c>
      <c r="E5" s="36">
        <v>45204</v>
      </c>
      <c r="F5" s="20">
        <v>189900</v>
      </c>
      <c r="G5" s="14">
        <v>0</v>
      </c>
      <c r="H5" s="20">
        <v>189900</v>
      </c>
      <c r="I5" s="53">
        <v>3</v>
      </c>
      <c r="J5" s="61">
        <v>63300</v>
      </c>
      <c r="K5" s="115">
        <v>63300</v>
      </c>
      <c r="L5" s="61">
        <v>63300</v>
      </c>
      <c r="M5" s="100">
        <v>3461</v>
      </c>
      <c r="N5" s="1"/>
    </row>
    <row r="6" spans="2:14" x14ac:dyDescent="0.25">
      <c r="B6" s="33">
        <v>42303</v>
      </c>
      <c r="C6" s="33" t="s">
        <v>15</v>
      </c>
      <c r="D6" s="33" t="s">
        <v>16</v>
      </c>
      <c r="E6" s="36">
        <v>45204</v>
      </c>
      <c r="F6" s="20">
        <v>144000</v>
      </c>
      <c r="G6" s="14">
        <v>139999</v>
      </c>
      <c r="H6" s="20">
        <v>4001</v>
      </c>
      <c r="I6" s="53">
        <v>1</v>
      </c>
      <c r="J6" s="119">
        <v>4001</v>
      </c>
      <c r="K6" s="34">
        <v>0</v>
      </c>
      <c r="L6" s="54">
        <v>0</v>
      </c>
      <c r="M6" s="100" t="s">
        <v>73</v>
      </c>
      <c r="N6" s="1"/>
    </row>
    <row r="7" spans="2:14" x14ac:dyDescent="0.25">
      <c r="B7" s="33">
        <v>42309</v>
      </c>
      <c r="C7" s="33" t="s">
        <v>17</v>
      </c>
      <c r="D7" s="33" t="s">
        <v>54</v>
      </c>
      <c r="E7" s="36">
        <v>45204</v>
      </c>
      <c r="F7" s="20">
        <v>85000</v>
      </c>
      <c r="G7" s="14">
        <v>0</v>
      </c>
      <c r="H7" s="20">
        <v>85000</v>
      </c>
      <c r="I7" s="53">
        <v>3</v>
      </c>
      <c r="J7" s="61">
        <v>28333</v>
      </c>
      <c r="K7" s="115">
        <v>28333</v>
      </c>
      <c r="L7" s="61">
        <v>28333</v>
      </c>
      <c r="M7" s="100">
        <v>3462</v>
      </c>
      <c r="N7" s="1"/>
    </row>
    <row r="8" spans="2:14" x14ac:dyDescent="0.25">
      <c r="B8" s="33">
        <v>42310</v>
      </c>
      <c r="C8" s="33" t="s">
        <v>17</v>
      </c>
      <c r="D8" s="33" t="s">
        <v>54</v>
      </c>
      <c r="E8" s="36">
        <v>45204</v>
      </c>
      <c r="F8" s="20">
        <v>48000</v>
      </c>
      <c r="G8" s="14">
        <v>0</v>
      </c>
      <c r="H8" s="20">
        <v>48000</v>
      </c>
      <c r="I8" s="53">
        <v>3</v>
      </c>
      <c r="J8" s="61">
        <v>16000</v>
      </c>
      <c r="K8" s="115">
        <v>16000</v>
      </c>
      <c r="L8" s="61">
        <v>16000</v>
      </c>
      <c r="M8" s="100">
        <v>3462</v>
      </c>
      <c r="N8" s="1"/>
    </row>
    <row r="9" spans="2:14" x14ac:dyDescent="0.25">
      <c r="B9" s="33">
        <v>42313</v>
      </c>
      <c r="C9" s="33" t="s">
        <v>17</v>
      </c>
      <c r="D9" s="33" t="s">
        <v>54</v>
      </c>
      <c r="E9" s="36">
        <v>45204</v>
      </c>
      <c r="F9" s="20">
        <v>125000</v>
      </c>
      <c r="G9" s="14">
        <v>0</v>
      </c>
      <c r="H9" s="20">
        <v>125000</v>
      </c>
      <c r="I9" s="53">
        <v>3</v>
      </c>
      <c r="J9" s="61">
        <v>41667</v>
      </c>
      <c r="K9" s="115">
        <v>41667</v>
      </c>
      <c r="L9" s="61">
        <v>41667</v>
      </c>
      <c r="M9" s="100">
        <v>3462</v>
      </c>
      <c r="N9" s="1"/>
    </row>
    <row r="10" spans="2:14" x14ac:dyDescent="0.25">
      <c r="B10" s="33">
        <v>42314</v>
      </c>
      <c r="C10" s="33" t="s">
        <v>17</v>
      </c>
      <c r="D10" s="33" t="s">
        <v>54</v>
      </c>
      <c r="E10" s="36">
        <v>45204</v>
      </c>
      <c r="F10" s="20">
        <v>170000</v>
      </c>
      <c r="G10" s="14">
        <v>0</v>
      </c>
      <c r="H10" s="20">
        <v>170000</v>
      </c>
      <c r="I10" s="53">
        <v>3</v>
      </c>
      <c r="J10" s="61">
        <v>56667</v>
      </c>
      <c r="K10" s="115">
        <v>56667</v>
      </c>
      <c r="L10" s="61">
        <v>56667</v>
      </c>
      <c r="M10" s="100">
        <v>3462</v>
      </c>
      <c r="N10" s="1"/>
    </row>
    <row r="11" spans="2:14" x14ac:dyDescent="0.25">
      <c r="B11" s="33">
        <v>42317</v>
      </c>
      <c r="C11" s="33" t="s">
        <v>17</v>
      </c>
      <c r="D11" s="33" t="s">
        <v>54</v>
      </c>
      <c r="E11" s="36">
        <v>45204</v>
      </c>
      <c r="F11" s="20">
        <v>50000</v>
      </c>
      <c r="G11" s="14">
        <v>0</v>
      </c>
      <c r="H11" s="20">
        <v>50000</v>
      </c>
      <c r="I11" s="53">
        <v>3</v>
      </c>
      <c r="J11" s="61">
        <v>16667</v>
      </c>
      <c r="K11" s="115">
        <v>16667</v>
      </c>
      <c r="L11" s="61">
        <v>16667</v>
      </c>
      <c r="M11" s="100">
        <v>3462</v>
      </c>
      <c r="N11" s="1"/>
    </row>
    <row r="12" spans="2:14" ht="15.75" customHeight="1" x14ac:dyDescent="0.25">
      <c r="B12" s="33">
        <v>42307</v>
      </c>
      <c r="C12" s="33" t="s">
        <v>18</v>
      </c>
      <c r="D12" s="8" t="s">
        <v>19</v>
      </c>
      <c r="E12" s="36">
        <v>45204</v>
      </c>
      <c r="F12" s="20">
        <v>130000</v>
      </c>
      <c r="G12" s="14">
        <v>0</v>
      </c>
      <c r="H12" s="20">
        <v>130000</v>
      </c>
      <c r="I12" s="53">
        <v>3</v>
      </c>
      <c r="J12" s="61">
        <v>50000</v>
      </c>
      <c r="K12" s="115">
        <v>50000</v>
      </c>
      <c r="L12" s="61">
        <v>30000</v>
      </c>
      <c r="M12" s="100">
        <v>3463</v>
      </c>
      <c r="N12" s="1"/>
    </row>
    <row r="13" spans="2:14" x14ac:dyDescent="0.25">
      <c r="B13" s="33">
        <v>42305</v>
      </c>
      <c r="C13" s="33" t="s">
        <v>20</v>
      </c>
      <c r="D13" s="33" t="s">
        <v>21</v>
      </c>
      <c r="E13" s="36">
        <v>45204</v>
      </c>
      <c r="F13" s="20">
        <v>110000</v>
      </c>
      <c r="G13" s="14">
        <v>0</v>
      </c>
      <c r="H13" s="20">
        <v>110000</v>
      </c>
      <c r="I13" s="53">
        <v>3</v>
      </c>
      <c r="J13" s="61">
        <v>36667</v>
      </c>
      <c r="K13" s="115">
        <v>36667</v>
      </c>
      <c r="L13" s="61">
        <v>36667</v>
      </c>
      <c r="M13" s="100">
        <v>3464</v>
      </c>
      <c r="N13" s="1"/>
    </row>
    <row r="14" spans="2:14" x14ac:dyDescent="0.25">
      <c r="B14" s="33">
        <v>42316</v>
      </c>
      <c r="C14" s="33" t="s">
        <v>22</v>
      </c>
      <c r="D14" s="33" t="s">
        <v>55</v>
      </c>
      <c r="E14" s="36">
        <v>45204</v>
      </c>
      <c r="F14" s="20">
        <v>140000</v>
      </c>
      <c r="G14" s="14">
        <v>40000</v>
      </c>
      <c r="H14" s="20">
        <v>100000</v>
      </c>
      <c r="I14" s="53">
        <v>3</v>
      </c>
      <c r="J14" s="61">
        <v>33333</v>
      </c>
      <c r="K14" s="115">
        <v>33333</v>
      </c>
      <c r="L14" s="61">
        <v>33333</v>
      </c>
      <c r="M14" s="100">
        <v>3465</v>
      </c>
      <c r="N14" s="1"/>
    </row>
    <row r="15" spans="2:14" x14ac:dyDescent="0.25">
      <c r="B15" s="33">
        <v>42306</v>
      </c>
      <c r="C15" s="33" t="s">
        <v>23</v>
      </c>
      <c r="D15" s="33" t="s">
        <v>24</v>
      </c>
      <c r="E15" s="36">
        <v>45204</v>
      </c>
      <c r="F15" s="20">
        <v>195000</v>
      </c>
      <c r="G15" s="14">
        <v>0</v>
      </c>
      <c r="H15" s="20">
        <v>195000</v>
      </c>
      <c r="I15" s="53">
        <v>3</v>
      </c>
      <c r="J15" s="61">
        <v>65000</v>
      </c>
      <c r="K15" s="115">
        <v>65000</v>
      </c>
      <c r="L15" s="61">
        <v>65000</v>
      </c>
      <c r="M15" s="100">
        <v>3466</v>
      </c>
      <c r="N15" s="1"/>
    </row>
    <row r="16" spans="2:14" x14ac:dyDescent="0.25">
      <c r="B16" s="33">
        <v>42321</v>
      </c>
      <c r="C16" s="33" t="s">
        <v>25</v>
      </c>
      <c r="D16" s="33" t="s">
        <v>26</v>
      </c>
      <c r="E16" s="36">
        <v>45204</v>
      </c>
      <c r="F16" s="20">
        <v>90000</v>
      </c>
      <c r="G16" s="14">
        <v>0</v>
      </c>
      <c r="H16" s="20">
        <v>90000</v>
      </c>
      <c r="I16" s="53">
        <v>3</v>
      </c>
      <c r="J16" s="61">
        <v>30000</v>
      </c>
      <c r="K16" s="115">
        <v>30000</v>
      </c>
      <c r="L16" s="61">
        <v>30000</v>
      </c>
      <c r="M16" s="100">
        <v>3467</v>
      </c>
      <c r="N16" s="1"/>
    </row>
    <row r="17" spans="2:14" x14ac:dyDescent="0.25">
      <c r="B17" s="33">
        <v>42308</v>
      </c>
      <c r="C17" s="33" t="s">
        <v>27</v>
      </c>
      <c r="D17" s="33" t="s">
        <v>56</v>
      </c>
      <c r="E17" s="36">
        <v>45204</v>
      </c>
      <c r="F17" s="20">
        <v>170000</v>
      </c>
      <c r="G17" s="14">
        <v>0</v>
      </c>
      <c r="H17" s="20">
        <v>170000</v>
      </c>
      <c r="I17" s="53">
        <v>3</v>
      </c>
      <c r="J17" s="61">
        <v>56667</v>
      </c>
      <c r="K17" s="115">
        <v>56667</v>
      </c>
      <c r="L17" s="61">
        <v>56667</v>
      </c>
      <c r="M17" s="100">
        <v>3468</v>
      </c>
      <c r="N17" s="1"/>
    </row>
    <row r="18" spans="2:14" x14ac:dyDescent="0.25">
      <c r="B18" s="33">
        <v>42311</v>
      </c>
      <c r="C18" s="33" t="s">
        <v>28</v>
      </c>
      <c r="D18" s="33" t="s">
        <v>29</v>
      </c>
      <c r="E18" s="36">
        <v>45204</v>
      </c>
      <c r="F18" s="20">
        <v>130000</v>
      </c>
      <c r="G18" s="14">
        <v>0</v>
      </c>
      <c r="H18" s="20">
        <v>130000</v>
      </c>
      <c r="I18" s="53">
        <v>3</v>
      </c>
      <c r="J18" s="61">
        <v>43333</v>
      </c>
      <c r="K18" s="115">
        <v>43333</v>
      </c>
      <c r="L18" s="61">
        <v>43333</v>
      </c>
      <c r="M18" s="100">
        <v>3469</v>
      </c>
      <c r="N18" s="1"/>
    </row>
    <row r="19" spans="2:14" x14ac:dyDescent="0.25">
      <c r="B19" s="33">
        <v>42302</v>
      </c>
      <c r="C19" s="33" t="s">
        <v>30</v>
      </c>
      <c r="D19" s="33" t="s">
        <v>57</v>
      </c>
      <c r="E19" s="36">
        <v>45204</v>
      </c>
      <c r="F19" s="20">
        <v>85000</v>
      </c>
      <c r="G19" s="14">
        <v>0</v>
      </c>
      <c r="H19" s="20">
        <v>85000</v>
      </c>
      <c r="I19" s="53">
        <v>3</v>
      </c>
      <c r="J19" s="61">
        <v>28333</v>
      </c>
      <c r="K19" s="115">
        <v>28333</v>
      </c>
      <c r="L19" s="61">
        <v>28333</v>
      </c>
      <c r="M19" s="100">
        <v>3470</v>
      </c>
      <c r="N19" s="1"/>
    </row>
    <row r="20" spans="2:14" x14ac:dyDescent="0.25">
      <c r="B20" s="33">
        <v>42059</v>
      </c>
      <c r="C20" s="33" t="s">
        <v>31</v>
      </c>
      <c r="D20" s="8" t="s">
        <v>32</v>
      </c>
      <c r="E20" s="36">
        <v>45205</v>
      </c>
      <c r="F20" s="20">
        <v>80000</v>
      </c>
      <c r="G20" s="14">
        <v>0</v>
      </c>
      <c r="H20" s="20">
        <v>80000</v>
      </c>
      <c r="I20" s="53">
        <v>3</v>
      </c>
      <c r="J20" s="119">
        <v>26667</v>
      </c>
      <c r="K20" s="115">
        <v>26667</v>
      </c>
      <c r="L20" s="61">
        <v>26667</v>
      </c>
      <c r="M20" s="100">
        <v>3471</v>
      </c>
      <c r="N20" s="1"/>
    </row>
    <row r="21" spans="2:14" x14ac:dyDescent="0.25">
      <c r="B21" s="33">
        <v>42320</v>
      </c>
      <c r="C21" s="33" t="s">
        <v>33</v>
      </c>
      <c r="D21" s="98" t="s">
        <v>58</v>
      </c>
      <c r="E21" s="36">
        <v>45204</v>
      </c>
      <c r="F21" s="20">
        <v>120000</v>
      </c>
      <c r="G21" s="14">
        <v>0</v>
      </c>
      <c r="H21" s="20">
        <v>120000</v>
      </c>
      <c r="I21" s="53">
        <v>3</v>
      </c>
      <c r="J21" s="61">
        <v>40000</v>
      </c>
      <c r="K21" s="115">
        <v>40000</v>
      </c>
      <c r="L21" s="61">
        <v>40000</v>
      </c>
      <c r="M21" s="100">
        <v>3472</v>
      </c>
      <c r="N21" s="1"/>
    </row>
    <row r="22" spans="2:14" x14ac:dyDescent="0.25">
      <c r="B22" s="33">
        <v>42323</v>
      </c>
      <c r="C22" s="33" t="s">
        <v>34</v>
      </c>
      <c r="D22" s="33" t="s">
        <v>35</v>
      </c>
      <c r="E22" s="36">
        <v>45204</v>
      </c>
      <c r="F22" s="20">
        <v>30000</v>
      </c>
      <c r="G22" s="14">
        <v>0</v>
      </c>
      <c r="H22" s="20">
        <v>30000</v>
      </c>
      <c r="I22" s="53">
        <v>3</v>
      </c>
      <c r="J22" s="61">
        <v>10000</v>
      </c>
      <c r="K22" s="115">
        <v>10000</v>
      </c>
      <c r="L22" s="61">
        <v>10000</v>
      </c>
      <c r="M22" s="100">
        <v>3473</v>
      </c>
      <c r="N22" s="1"/>
    </row>
    <row r="23" spans="2:14" x14ac:dyDescent="0.25">
      <c r="B23" s="33">
        <v>42301</v>
      </c>
      <c r="C23" s="33" t="s">
        <v>36</v>
      </c>
      <c r="D23" s="33" t="s">
        <v>37</v>
      </c>
      <c r="E23" s="36">
        <v>45204</v>
      </c>
      <c r="F23" s="20">
        <v>85000</v>
      </c>
      <c r="G23" s="14">
        <v>0</v>
      </c>
      <c r="H23" s="20">
        <v>85000</v>
      </c>
      <c r="I23" s="53">
        <v>3</v>
      </c>
      <c r="J23" s="61">
        <v>28333</v>
      </c>
      <c r="K23" s="115">
        <v>28333</v>
      </c>
      <c r="L23" s="61">
        <v>28333</v>
      </c>
      <c r="M23" s="100">
        <v>3474</v>
      </c>
      <c r="N23" s="1"/>
    </row>
    <row r="24" spans="2:14" ht="15.75" thickBot="1" x14ac:dyDescent="0.3">
      <c r="B24" s="35">
        <v>42319</v>
      </c>
      <c r="C24" s="35" t="s">
        <v>36</v>
      </c>
      <c r="D24" s="35" t="s">
        <v>37</v>
      </c>
      <c r="E24" s="37">
        <v>45204</v>
      </c>
      <c r="F24" s="25">
        <v>140000</v>
      </c>
      <c r="G24" s="15">
        <v>0</v>
      </c>
      <c r="H24" s="25">
        <v>140000</v>
      </c>
      <c r="I24" s="52">
        <v>3</v>
      </c>
      <c r="J24" s="60">
        <v>46667</v>
      </c>
      <c r="K24" s="116">
        <v>46667</v>
      </c>
      <c r="L24" s="60">
        <v>46667</v>
      </c>
      <c r="M24" s="100">
        <v>3474</v>
      </c>
      <c r="N24" s="1"/>
    </row>
    <row r="25" spans="2:14" ht="15.75" thickBot="1" x14ac:dyDescent="0.3">
      <c r="B25" s="21"/>
      <c r="C25" s="21"/>
      <c r="D25" s="21"/>
      <c r="E25" s="22"/>
      <c r="F25" s="28">
        <f>SUM(F4:F24)</f>
        <v>2476900</v>
      </c>
      <c r="G25" s="51">
        <f>SUM(G4:G24)</f>
        <v>179999</v>
      </c>
      <c r="H25" s="28">
        <f>SUM(H4:H24)</f>
        <v>2296901</v>
      </c>
      <c r="I25" s="59"/>
      <c r="J25" s="28">
        <f>SUM(J4:J24)</f>
        <v>774968</v>
      </c>
      <c r="K25" s="51">
        <f>SUM(K4:K24)</f>
        <v>770967</v>
      </c>
      <c r="L25" s="28">
        <f>SUM(L4:L24)</f>
        <v>750967</v>
      </c>
      <c r="M25" s="1"/>
      <c r="N25" s="1"/>
    </row>
    <row r="26" spans="2:14" ht="15.75" thickBot="1" x14ac:dyDescent="0.3">
      <c r="B26" s="1"/>
      <c r="C26" s="1"/>
      <c r="D26" s="1"/>
      <c r="E26" s="1"/>
      <c r="F26" s="1"/>
      <c r="G26" s="1"/>
      <c r="H26" s="1"/>
      <c r="I26" s="65" t="s">
        <v>46</v>
      </c>
      <c r="J26" s="64">
        <v>100000</v>
      </c>
      <c r="K26" s="2"/>
      <c r="L26" s="112">
        <f>K25+L25</f>
        <v>1521934</v>
      </c>
      <c r="M26" s="1"/>
      <c r="N26" s="1"/>
    </row>
    <row r="27" spans="2:14" ht="15.75" thickBot="1" x14ac:dyDescent="0.3">
      <c r="B27" s="1"/>
      <c r="C27" s="1"/>
      <c r="D27" s="1"/>
      <c r="E27" s="1"/>
      <c r="F27" s="1"/>
      <c r="G27" s="1"/>
      <c r="H27" s="1"/>
      <c r="I27" s="67" t="s">
        <v>47</v>
      </c>
      <c r="J27" s="66">
        <v>611000</v>
      </c>
      <c r="K27" s="29"/>
      <c r="L27" s="113" t="s">
        <v>76</v>
      </c>
      <c r="M27" s="1"/>
      <c r="N27" s="1"/>
    </row>
    <row r="28" spans="2:14" ht="24" thickBot="1" x14ac:dyDescent="0.3">
      <c r="B28" s="1"/>
      <c r="C28" s="1"/>
      <c r="D28" s="1"/>
      <c r="E28" s="1"/>
      <c r="F28" s="1"/>
      <c r="G28" s="1"/>
      <c r="H28" s="23"/>
      <c r="I28" s="81" t="s">
        <v>59</v>
      </c>
      <c r="J28" s="64">
        <f>J26+J27</f>
        <v>711000</v>
      </c>
      <c r="K28" s="23"/>
      <c r="L28" s="23"/>
      <c r="M28" s="23"/>
      <c r="N28" s="1"/>
    </row>
    <row r="29" spans="2:14" ht="15.75" thickBot="1" x14ac:dyDescent="0.3"/>
    <row r="30" spans="2:14" ht="15.75" thickBot="1" x14ac:dyDescent="0.3">
      <c r="F30" s="104" t="s">
        <v>60</v>
      </c>
      <c r="G30" s="105">
        <f>J25</f>
        <v>774968</v>
      </c>
      <c r="I30" s="106" t="s">
        <v>62</v>
      </c>
      <c r="J30" s="105">
        <f>K25</f>
        <v>770967</v>
      </c>
      <c r="L30" s="106" t="s">
        <v>68</v>
      </c>
      <c r="M30" s="107">
        <f>L25</f>
        <v>750967</v>
      </c>
    </row>
    <row r="31" spans="2:14" ht="36.75" customHeight="1" thickBot="1" x14ac:dyDescent="0.3">
      <c r="F31" s="84">
        <v>0.1</v>
      </c>
      <c r="G31" s="82">
        <f>G30*10%</f>
        <v>77496.800000000003</v>
      </c>
      <c r="I31" s="117" t="s">
        <v>66</v>
      </c>
      <c r="J31" s="118">
        <f>J6+J20</f>
        <v>30668</v>
      </c>
      <c r="L31" s="91">
        <v>0.1</v>
      </c>
      <c r="M31" s="5">
        <f>M30*10%</f>
        <v>75096.7</v>
      </c>
    </row>
    <row r="32" spans="2:14" ht="15.75" thickBot="1" x14ac:dyDescent="0.3">
      <c r="F32" s="83" t="s">
        <v>61</v>
      </c>
      <c r="G32" s="88">
        <f>G30-G31</f>
        <v>697471.2</v>
      </c>
      <c r="I32" s="83" t="s">
        <v>65</v>
      </c>
      <c r="J32" s="3">
        <f>SUM(J30:J31)</f>
        <v>801635</v>
      </c>
      <c r="L32" s="85" t="s">
        <v>61</v>
      </c>
      <c r="M32" s="75">
        <f>M30-M31</f>
        <v>675870.3</v>
      </c>
    </row>
    <row r="33" spans="6:14" s="1" customFormat="1" ht="15.75" thickBot="1" x14ac:dyDescent="0.3">
      <c r="F33" s="94"/>
      <c r="G33" s="80"/>
      <c r="I33" s="91">
        <v>0.1</v>
      </c>
      <c r="J33" s="5">
        <f>J32*10%</f>
        <v>80163.5</v>
      </c>
    </row>
    <row r="34" spans="6:14" s="1" customFormat="1" ht="15.75" thickBot="1" x14ac:dyDescent="0.3">
      <c r="F34" s="94"/>
      <c r="G34" s="80"/>
      <c r="I34" s="94"/>
      <c r="J34" s="88">
        <f>J32-J33</f>
        <v>721471.5</v>
      </c>
    </row>
    <row r="35" spans="6:14" s="1" customFormat="1" ht="15.75" thickBot="1" x14ac:dyDescent="0.3">
      <c r="F35" s="94"/>
      <c r="G35" s="80"/>
      <c r="I35" s="94"/>
      <c r="J35" s="80"/>
    </row>
    <row r="36" spans="6:14" ht="36" customHeight="1" thickBot="1" x14ac:dyDescent="0.3">
      <c r="F36" s="90" t="s">
        <v>63</v>
      </c>
      <c r="G36" s="88">
        <f>J28</f>
        <v>711000</v>
      </c>
      <c r="I36" s="93" t="s">
        <v>67</v>
      </c>
      <c r="J36" s="92">
        <v>812000</v>
      </c>
      <c r="L36" s="86" t="s">
        <v>70</v>
      </c>
      <c r="M36" s="95">
        <f>M32</f>
        <v>675870.3</v>
      </c>
    </row>
    <row r="37" spans="6:14" ht="39" customHeight="1" thickBot="1" x14ac:dyDescent="0.3">
      <c r="F37" s="89" t="s">
        <v>64</v>
      </c>
      <c r="G37" s="64">
        <f>G32</f>
        <v>697471.2</v>
      </c>
      <c r="I37" s="89" t="s">
        <v>64</v>
      </c>
      <c r="J37" s="64">
        <f>J32-J33</f>
        <v>721471.5</v>
      </c>
      <c r="L37" s="87" t="s">
        <v>71</v>
      </c>
      <c r="M37" s="96">
        <f>G38</f>
        <v>13528.800000000047</v>
      </c>
    </row>
    <row r="38" spans="6:14" ht="35.25" thickBot="1" x14ac:dyDescent="0.3">
      <c r="F38" s="87" t="s">
        <v>71</v>
      </c>
      <c r="G38" s="88">
        <f>G36-G37</f>
        <v>13528.800000000047</v>
      </c>
      <c r="I38" s="87" t="s">
        <v>71</v>
      </c>
      <c r="J38" s="92">
        <f>J36-J37</f>
        <v>90528.5</v>
      </c>
      <c r="L38" s="87" t="s">
        <v>71</v>
      </c>
      <c r="M38" s="97">
        <f>J38</f>
        <v>90528.5</v>
      </c>
    </row>
    <row r="39" spans="6:14" ht="15.75" thickBot="1" x14ac:dyDescent="0.3">
      <c r="L39" s="108" t="s">
        <v>69</v>
      </c>
      <c r="M39" s="64">
        <f>M36-M37-M38</f>
        <v>571813</v>
      </c>
      <c r="N39" s="111" t="s">
        <v>75</v>
      </c>
    </row>
    <row r="40" spans="6:14" ht="15.75" thickBot="1" x14ac:dyDescent="0.3">
      <c r="L40" s="109" t="s">
        <v>74</v>
      </c>
      <c r="M40" s="110"/>
    </row>
  </sheetData>
  <mergeCells count="1">
    <mergeCell ref="B2:D2"/>
  </mergeCells>
  <pageMargins left="0.70866141732283472" right="0.70866141732283472" top="0.74803149606299213" bottom="0.74803149606299213" header="0.31496062992125984" footer="0.31496062992125984"/>
  <pageSetup paperSize="9" scale="6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Hoja3</vt:lpstr>
    </vt:vector>
  </TitlesOfParts>
  <Company>Luffi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Lazcano</dc:creator>
  <cp:lastModifiedBy>Viviana Lazcano</cp:lastModifiedBy>
  <cp:lastPrinted>2024-03-04T13:43:30Z</cp:lastPrinted>
  <dcterms:created xsi:type="dcterms:W3CDTF">2023-11-21T13:36:38Z</dcterms:created>
  <dcterms:modified xsi:type="dcterms:W3CDTF">2024-03-04T13:44:19Z</dcterms:modified>
</cp:coreProperties>
</file>