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/>
  </bookViews>
  <sheets>
    <sheet name="CTA.UNIFORME OP.04.03.25" sheetId="61" r:id="rId1"/>
    <sheet name="Hoja1" sheetId="60" r:id="rId2"/>
    <sheet name="Hoja2" sheetId="62" r:id="rId3"/>
  </sheets>
  <calcPr calcId="145621"/>
</workbook>
</file>

<file path=xl/calcChain.xml><?xml version="1.0" encoding="utf-8"?>
<calcChain xmlns="http://schemas.openxmlformats.org/spreadsheetml/2006/main">
  <c r="K25" i="61" l="1"/>
  <c r="J25" i="61" l="1"/>
  <c r="H22" i="62" l="1"/>
  <c r="F22" i="62"/>
  <c r="I25" i="61" l="1"/>
  <c r="H23" i="60" l="1"/>
  <c r="F23" i="60" l="1"/>
  <c r="H23" i="61" l="1"/>
  <c r="F22" i="61" l="1"/>
  <c r="H22" i="61"/>
  <c r="I22" i="61"/>
  <c r="J22" i="61"/>
  <c r="K22" i="61"/>
  <c r="F30" i="61"/>
  <c r="F33" i="61"/>
</calcChain>
</file>

<file path=xl/sharedStrings.xml><?xml version="1.0" encoding="utf-8"?>
<sst xmlns="http://schemas.openxmlformats.org/spreadsheetml/2006/main" count="153" uniqueCount="61">
  <si>
    <t>OT</t>
  </si>
  <si>
    <t>Rut Cliente</t>
  </si>
  <si>
    <t>Nombre</t>
  </si>
  <si>
    <t>Fecha Atencion</t>
  </si>
  <si>
    <t>Precio</t>
  </si>
  <si>
    <t>Cuotas</t>
  </si>
  <si>
    <t>CUOTA MAYO</t>
  </si>
  <si>
    <t>CUOTA JUNIO</t>
  </si>
  <si>
    <t>CUOTA ABRIL</t>
  </si>
  <si>
    <t>04.03.25</t>
  </si>
  <si>
    <t>VANESSA FERNANDEZ</t>
  </si>
  <si>
    <t>19707336-5</t>
  </si>
  <si>
    <t>SCANDAR YARUR MANZUR</t>
  </si>
  <si>
    <t>12719238-3</t>
  </si>
  <si>
    <t>NANCY MANZUR</t>
  </si>
  <si>
    <t>6356751-5</t>
  </si>
  <si>
    <t>PAGO DIRECTO EN OPERATIVO</t>
  </si>
  <si>
    <t>12855507-2</t>
  </si>
  <si>
    <t>ROSALBA FORNERINO GUTIERREZ</t>
  </si>
  <si>
    <t>26319283-4</t>
  </si>
  <si>
    <t>RODRIGO LONDOÑO</t>
  </si>
  <si>
    <t>25659460-9</t>
  </si>
  <si>
    <t>NANCY SANTIAGO SALAS</t>
  </si>
  <si>
    <t>27635476-0</t>
  </si>
  <si>
    <t>MIGUEL QUIJADA MUÑOZ</t>
  </si>
  <si>
    <t>9405191-6</t>
  </si>
  <si>
    <t>MARIA PAZ LARA VASQUEZ</t>
  </si>
  <si>
    <t>18946215-8</t>
  </si>
  <si>
    <t>LUZ GOMEZ</t>
  </si>
  <si>
    <t>25890084-7</t>
  </si>
  <si>
    <t>10362351-0</t>
  </si>
  <si>
    <t>22575705-4</t>
  </si>
  <si>
    <t>JOHWY OROZCO SANEZ</t>
  </si>
  <si>
    <t>28216076-5</t>
  </si>
  <si>
    <t>18295034-3</t>
  </si>
  <si>
    <t>IGNACIO GRANDON MEJIAS</t>
  </si>
  <si>
    <t>10199272-1</t>
  </si>
  <si>
    <t xml:space="preserve">GABRIEL URIBE </t>
  </si>
  <si>
    <t>18675277-5</t>
  </si>
  <si>
    <t>12049897-5</t>
  </si>
  <si>
    <t>13564416-1</t>
  </si>
  <si>
    <t>21428011-6</t>
  </si>
  <si>
    <t>CTA UNIFORMES OP. 04.03.25</t>
  </si>
  <si>
    <t>13.03.25</t>
  </si>
  <si>
    <t>INGRESADO A RESUMEN GRAL.</t>
  </si>
  <si>
    <t>T/D</t>
  </si>
  <si>
    <t xml:space="preserve">AIDA LEAL </t>
  </si>
  <si>
    <t xml:space="preserve">CAROLINA FUENTES MENESES </t>
  </si>
  <si>
    <t>FREDDY CORTES GALAZ</t>
  </si>
  <si>
    <t>JOSELYN CARRASCO CASTILLO</t>
  </si>
  <si>
    <t>JULIO PAZ CARBAJAL</t>
  </si>
  <si>
    <t>LILIANA CERPA ESPEJO</t>
  </si>
  <si>
    <t>TERESA NUÑEZ</t>
  </si>
  <si>
    <t>BOLETA 01.04.25</t>
  </si>
  <si>
    <t>78.080.150-6</t>
  </si>
  <si>
    <t>16.04.25</t>
  </si>
  <si>
    <t>16.05.25</t>
  </si>
  <si>
    <t>CUOTA MARZO</t>
  </si>
  <si>
    <t>03.06.25</t>
  </si>
  <si>
    <t>01.07.25</t>
  </si>
  <si>
    <t>GARANTIA DE ARMAZON 08.08.25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</si>
</sst>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#,##0;\(#,##0\)"/>
    <numFmt numFmtId="165" formatCode="[$-10409]dd\-mm\-yyyy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164" fontId="6" fillId="0" borderId="6" xfId="0" applyNumberFormat="1" applyFont="1" applyBorder="1"/>
    <xf numFmtId="164" fontId="6" fillId="3" borderId="6" xfId="0" applyNumberFormat="1" applyFont="1" applyFill="1" applyBorder="1"/>
    <xf numFmtId="0" fontId="4" fillId="2" borderId="6" xfId="0" applyFont="1" applyFill="1" applyBorder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164" fontId="4" fillId="3" borderId="18" xfId="0" applyNumberFormat="1" applyFont="1" applyFill="1" applyBorder="1" applyAlignment="1" applyProtection="1">
      <alignment horizontal="right" vertical="top" wrapText="1" readingOrder="1"/>
      <protection locked="0"/>
    </xf>
    <xf numFmtId="0" fontId="4" fillId="2" borderId="4" xfId="0" applyFont="1" applyFill="1" applyBorder="1" applyAlignment="1" applyProtection="1">
      <alignment horizontal="center" vertical="top" wrapText="1" readingOrder="1"/>
      <protection locked="0"/>
    </xf>
    <xf numFmtId="0" fontId="2" fillId="2" borderId="6" xfId="0" applyFont="1" applyFill="1" applyBorder="1" applyAlignment="1" applyProtection="1">
      <alignment horizontal="center" vertical="top" wrapText="1" readingOrder="1"/>
      <protection locked="0"/>
    </xf>
    <xf numFmtId="164" fontId="4" fillId="0" borderId="18" xfId="0" applyNumberFormat="1" applyFont="1" applyBorder="1" applyAlignment="1" applyProtection="1">
      <alignment horizontal="right" vertical="top" wrapText="1" readingOrder="1"/>
      <protection locked="0"/>
    </xf>
    <xf numFmtId="164" fontId="4" fillId="0" borderId="20" xfId="0" applyNumberFormat="1" applyFont="1" applyBorder="1" applyAlignment="1" applyProtection="1">
      <alignment horizontal="right" vertical="top" wrapText="1" readingOrder="1"/>
      <protection locked="0"/>
    </xf>
    <xf numFmtId="164" fontId="4" fillId="0" borderId="17" xfId="0" applyNumberFormat="1" applyFont="1" applyBorder="1" applyAlignment="1" applyProtection="1">
      <alignment horizontal="right" vertical="top" wrapText="1" readingOrder="1"/>
      <protection locked="0"/>
    </xf>
    <xf numFmtId="0" fontId="4" fillId="2" borderId="5" xfId="0" applyFont="1" applyFill="1" applyBorder="1" applyAlignment="1" applyProtection="1">
      <alignment horizontal="center" vertical="top" wrapText="1" readingOrder="1"/>
      <protection locked="0"/>
    </xf>
    <xf numFmtId="0" fontId="2" fillId="2" borderId="12" xfId="0" applyFont="1" applyFill="1" applyBorder="1" applyAlignment="1" applyProtection="1">
      <alignment horizontal="center" vertical="top" wrapText="1" readingOrder="1"/>
      <protection locked="0"/>
    </xf>
    <xf numFmtId="165" fontId="4" fillId="2" borderId="5" xfId="0" applyNumberFormat="1" applyFont="1" applyFill="1" applyBorder="1" applyAlignment="1" applyProtection="1">
      <alignment horizontal="center" vertical="top" wrapText="1" readingOrder="1"/>
      <protection locked="0"/>
    </xf>
    <xf numFmtId="165" fontId="4" fillId="2" borderId="6" xfId="0" applyNumberFormat="1" applyFont="1" applyFill="1" applyBorder="1" applyAlignment="1" applyProtection="1">
      <alignment horizontal="center" vertical="top" wrapText="1" readingOrder="1"/>
      <protection locked="0"/>
    </xf>
    <xf numFmtId="165" fontId="4" fillId="2" borderId="12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0" borderId="34" xfId="0" applyFont="1" applyBorder="1" applyAlignment="1" applyProtection="1">
      <alignment vertical="top" wrapText="1" readingOrder="1"/>
      <protection locked="0"/>
    </xf>
    <xf numFmtId="0" fontId="5" fillId="0" borderId="35" xfId="0" applyFont="1" applyBorder="1" applyAlignment="1" applyProtection="1">
      <alignment vertical="top" wrapText="1" readingOrder="1"/>
      <protection locked="0"/>
    </xf>
    <xf numFmtId="0" fontId="0" fillId="0" borderId="0" xfId="0" applyBorder="1"/>
    <xf numFmtId="164" fontId="2" fillId="0" borderId="6" xfId="0" applyNumberFormat="1" applyFont="1" applyBorder="1" applyAlignment="1" applyProtection="1">
      <alignment horizontal="right" vertical="top" wrapText="1" readingOrder="1"/>
      <protection locked="0"/>
    </xf>
    <xf numFmtId="0" fontId="4" fillId="0" borderId="22" xfId="0" applyFont="1" applyBorder="1" applyAlignment="1" applyProtection="1">
      <alignment horizontal="center" vertical="top" wrapText="1" readingOrder="1"/>
      <protection locked="0"/>
    </xf>
    <xf numFmtId="0" fontId="4" fillId="0" borderId="21" xfId="0" applyFont="1" applyBorder="1" applyAlignment="1" applyProtection="1">
      <alignment horizontal="center" vertical="top" wrapText="1" readingOrder="1"/>
      <protection locked="0"/>
    </xf>
    <xf numFmtId="164" fontId="2" fillId="0" borderId="3" xfId="0" applyNumberFormat="1" applyFont="1" applyBorder="1" applyAlignment="1" applyProtection="1">
      <alignment horizontal="right" vertical="top" wrapText="1" readingOrder="1"/>
      <protection locked="0"/>
    </xf>
    <xf numFmtId="0" fontId="4" fillId="0" borderId="28" xfId="0" applyFont="1" applyBorder="1" applyAlignment="1" applyProtection="1">
      <alignment vertical="top" wrapText="1" readingOrder="1"/>
      <protection locked="0"/>
    </xf>
    <xf numFmtId="0" fontId="4" fillId="0" borderId="17" xfId="0" applyFont="1" applyBorder="1" applyAlignment="1" applyProtection="1">
      <alignment vertical="top" wrapText="1" readingOrder="1"/>
      <protection locked="0"/>
    </xf>
    <xf numFmtId="0" fontId="4" fillId="0" borderId="18" xfId="0" applyFont="1" applyBorder="1" applyAlignment="1" applyProtection="1">
      <alignment vertical="top" wrapText="1" readingOrder="1"/>
      <protection locked="0"/>
    </xf>
    <xf numFmtId="165" fontId="4" fillId="0" borderId="21" xfId="0" applyNumberFormat="1" applyFont="1" applyBorder="1" applyAlignment="1" applyProtection="1">
      <alignment vertical="top" wrapText="1" readingOrder="1"/>
      <protection locked="0"/>
    </xf>
    <xf numFmtId="165" fontId="4" fillId="0" borderId="22" xfId="0" applyNumberFormat="1" applyFont="1" applyBorder="1" applyAlignment="1" applyProtection="1">
      <alignment vertical="top" wrapText="1" readingOrder="1"/>
      <protection locked="0"/>
    </xf>
    <xf numFmtId="0" fontId="4" fillId="0" borderId="20" xfId="0" applyFont="1" applyBorder="1" applyAlignment="1" applyProtection="1">
      <alignment vertical="top" wrapText="1" readingOrder="1"/>
      <protection locked="0"/>
    </xf>
    <xf numFmtId="165" fontId="4" fillId="0" borderId="11" xfId="0" applyNumberFormat="1" applyFont="1" applyBorder="1" applyAlignment="1" applyProtection="1">
      <alignment vertical="top" wrapText="1" readingOrder="1"/>
      <protection locked="0"/>
    </xf>
    <xf numFmtId="0" fontId="2" fillId="2" borderId="5" xfId="0" applyFont="1" applyFill="1" applyBorder="1" applyAlignment="1" applyProtection="1">
      <alignment horizontal="center" vertical="top" wrapText="1" readingOrder="1"/>
      <protection locked="0"/>
    </xf>
    <xf numFmtId="0" fontId="4" fillId="0" borderId="26" xfId="0" applyFont="1" applyBorder="1" applyAlignment="1" applyProtection="1">
      <alignment vertical="top" wrapText="1" readingOrder="1"/>
      <protection locked="0"/>
    </xf>
    <xf numFmtId="0" fontId="4" fillId="0" borderId="27" xfId="0" applyFont="1" applyBorder="1" applyAlignment="1" applyProtection="1">
      <alignment vertical="top" wrapText="1" readingOrder="1"/>
      <protection locked="0"/>
    </xf>
    <xf numFmtId="0" fontId="4" fillId="0" borderId="15" xfId="0" applyFont="1" applyBorder="1" applyAlignment="1" applyProtection="1">
      <alignment vertical="top" wrapText="1" readingOrder="1"/>
      <protection locked="0"/>
    </xf>
    <xf numFmtId="0" fontId="4" fillId="0" borderId="14" xfId="0" applyFont="1" applyBorder="1" applyAlignment="1" applyProtection="1">
      <alignment vertical="top" wrapText="1" readingOrder="1"/>
      <protection locked="0"/>
    </xf>
    <xf numFmtId="0" fontId="4" fillId="0" borderId="8" xfId="0" applyFont="1" applyBorder="1" applyAlignment="1" applyProtection="1">
      <alignment vertical="top" wrapText="1" readingOrder="1"/>
      <protection locked="0"/>
    </xf>
    <xf numFmtId="0" fontId="4" fillId="0" borderId="7" xfId="0" applyFont="1" applyBorder="1" applyAlignment="1" applyProtection="1">
      <alignment vertical="top" wrapText="1" readingOrder="1"/>
      <protection locked="0"/>
    </xf>
    <xf numFmtId="164" fontId="2" fillId="0" borderId="5" xfId="0" applyNumberFormat="1" applyFont="1" applyBorder="1" applyAlignment="1" applyProtection="1">
      <alignment horizontal="right" vertical="top" wrapText="1" readingOrder="1"/>
      <protection locked="0"/>
    </xf>
    <xf numFmtId="164" fontId="2" fillId="0" borderId="12" xfId="0" applyNumberFormat="1" applyFont="1" applyBorder="1" applyAlignment="1" applyProtection="1">
      <alignment horizontal="right" vertical="top" wrapText="1" readingOrder="1"/>
      <protection locked="0"/>
    </xf>
    <xf numFmtId="0" fontId="4" fillId="0" borderId="10" xfId="0" applyFont="1" applyBorder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vertical="top" wrapText="1" readingOrder="1"/>
      <protection locked="0"/>
    </xf>
    <xf numFmtId="164" fontId="4" fillId="0" borderId="0" xfId="0" applyNumberFormat="1" applyFont="1" applyBorder="1" applyAlignment="1" applyProtection="1">
      <alignment horizontal="right" vertical="top" wrapText="1" readingOrder="1"/>
      <protection locked="0"/>
    </xf>
    <xf numFmtId="0" fontId="4" fillId="0" borderId="0" xfId="0" applyFont="1" applyBorder="1" applyAlignment="1" applyProtection="1">
      <alignment horizontal="right" vertical="top" wrapText="1" readingOrder="1"/>
      <protection locked="0"/>
    </xf>
    <xf numFmtId="0" fontId="4" fillId="0" borderId="0" xfId="0" applyFont="1" applyBorder="1" applyAlignment="1" applyProtection="1">
      <alignment vertical="top" wrapText="1" readingOrder="1"/>
      <protection locked="0"/>
    </xf>
    <xf numFmtId="0" fontId="6" fillId="3" borderId="12" xfId="0" applyFont="1" applyFill="1" applyBorder="1"/>
    <xf numFmtId="0" fontId="6" fillId="3" borderId="5" xfId="0" applyFont="1" applyFill="1" applyBorder="1"/>
    <xf numFmtId="0" fontId="6" fillId="3" borderId="4" xfId="0" applyFont="1" applyFill="1" applyBorder="1"/>
    <xf numFmtId="164" fontId="4" fillId="3" borderId="17" xfId="0" applyNumberFormat="1" applyFont="1" applyFill="1" applyBorder="1" applyAlignment="1" applyProtection="1">
      <alignment horizontal="right" vertical="top" wrapText="1" readingOrder="1"/>
      <protection locked="0"/>
    </xf>
    <xf numFmtId="164" fontId="4" fillId="3" borderId="20" xfId="0" applyNumberFormat="1" applyFont="1" applyFill="1" applyBorder="1" applyAlignment="1" applyProtection="1">
      <alignment horizontal="right" vertical="top" wrapText="1" readingOrder="1"/>
      <protection locked="0"/>
    </xf>
    <xf numFmtId="165" fontId="4" fillId="2" borderId="24" xfId="0" applyNumberFormat="1" applyFont="1" applyFill="1" applyBorder="1" applyAlignment="1" applyProtection="1">
      <alignment horizontal="center" vertical="center" wrapText="1" readingOrder="1"/>
      <protection locked="0"/>
    </xf>
    <xf numFmtId="0" fontId="3" fillId="0" borderId="36" xfId="0" applyFont="1" applyBorder="1" applyAlignment="1" applyProtection="1">
      <alignment vertical="top" wrapText="1" readingOrder="1"/>
      <protection locked="0"/>
    </xf>
    <xf numFmtId="0" fontId="6" fillId="3" borderId="13" xfId="0" applyFont="1" applyFill="1" applyBorder="1" applyAlignment="1">
      <alignment horizontal="right"/>
    </xf>
    <xf numFmtId="165" fontId="4" fillId="0" borderId="16" xfId="0" applyNumberFormat="1" applyFont="1" applyBorder="1" applyAlignment="1" applyProtection="1">
      <alignment vertical="top" wrapText="1" readingOrder="1"/>
      <protection locked="0"/>
    </xf>
    <xf numFmtId="165" fontId="4" fillId="0" borderId="2" xfId="0" applyNumberFormat="1" applyFont="1" applyBorder="1" applyAlignment="1" applyProtection="1">
      <alignment vertical="top" wrapText="1" readingOrder="1"/>
      <protection locked="0"/>
    </xf>
    <xf numFmtId="165" fontId="4" fillId="0" borderId="9" xfId="0" applyNumberFormat="1" applyFont="1" applyBorder="1" applyAlignment="1" applyProtection="1">
      <alignment vertical="top" wrapText="1" readingOrder="1"/>
      <protection locked="0"/>
    </xf>
    <xf numFmtId="0" fontId="4" fillId="0" borderId="11" xfId="0" applyFont="1" applyBorder="1" applyAlignment="1" applyProtection="1">
      <alignment horizontal="center" vertical="center" wrapText="1" readingOrder="1"/>
      <protection locked="0"/>
    </xf>
    <xf numFmtId="0" fontId="7" fillId="4" borderId="29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4" fillId="5" borderId="18" xfId="0" applyFont="1" applyFill="1" applyBorder="1" applyAlignment="1" applyProtection="1">
      <alignment vertical="top" wrapText="1" readingOrder="1"/>
      <protection locked="0"/>
    </xf>
    <xf numFmtId="0" fontId="4" fillId="0" borderId="0" xfId="0" applyFont="1" applyFill="1" applyBorder="1" applyAlignment="1" applyProtection="1">
      <alignment vertical="top" wrapText="1" readingOrder="1"/>
      <protection locked="0"/>
    </xf>
    <xf numFmtId="164" fontId="2" fillId="5" borderId="6" xfId="0" applyNumberFormat="1" applyFont="1" applyFill="1" applyBorder="1" applyAlignment="1" applyProtection="1">
      <alignment horizontal="right" vertical="top" wrapText="1" readingOrder="1"/>
      <protection locked="0"/>
    </xf>
    <xf numFmtId="0" fontId="4" fillId="6" borderId="18" xfId="0" applyFont="1" applyFill="1" applyBorder="1" applyAlignment="1" applyProtection="1">
      <alignment vertical="top" wrapText="1" readingOrder="1"/>
      <protection locked="0"/>
    </xf>
    <xf numFmtId="0" fontId="2" fillId="7" borderId="6" xfId="0" applyFont="1" applyFill="1" applyBorder="1" applyAlignment="1" applyProtection="1">
      <alignment horizontal="center" vertical="top" wrapText="1" readingOrder="1"/>
      <protection locked="0"/>
    </xf>
    <xf numFmtId="165" fontId="4" fillId="7" borderId="6" xfId="0" applyNumberFormat="1" applyFont="1" applyFill="1" applyBorder="1" applyAlignment="1" applyProtection="1">
      <alignment horizontal="center" vertical="top" wrapText="1" readingOrder="1"/>
      <protection locked="0"/>
    </xf>
    <xf numFmtId="3" fontId="7" fillId="8" borderId="5" xfId="0" applyNumberFormat="1" applyFont="1" applyFill="1" applyBorder="1"/>
    <xf numFmtId="3" fontId="7" fillId="8" borderId="32" xfId="0" applyNumberFormat="1" applyFont="1" applyFill="1" applyBorder="1"/>
    <xf numFmtId="3" fontId="7" fillId="8" borderId="6" xfId="0" applyNumberFormat="1" applyFont="1" applyFill="1" applyBorder="1"/>
    <xf numFmtId="0" fontId="7" fillId="8" borderId="6" xfId="0" applyFont="1" applyFill="1" applyBorder="1" applyAlignment="1">
      <alignment horizontal="right"/>
    </xf>
    <xf numFmtId="164" fontId="4" fillId="8" borderId="21" xfId="0" applyNumberFormat="1" applyFont="1" applyFill="1" applyBorder="1" applyAlignment="1" applyProtection="1">
      <alignment horizontal="right" vertical="top" wrapText="1" readingOrder="1"/>
      <protection locked="0"/>
    </xf>
    <xf numFmtId="164" fontId="4" fillId="8" borderId="22" xfId="0" applyNumberFormat="1" applyFont="1" applyFill="1" applyBorder="1" applyAlignment="1" applyProtection="1">
      <alignment horizontal="right" vertical="top" wrapText="1" readingOrder="1"/>
      <protection locked="0"/>
    </xf>
    <xf numFmtId="164" fontId="4" fillId="8" borderId="11" xfId="0" applyNumberFormat="1" applyFont="1" applyFill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vertical="top" readingOrder="1"/>
      <protection locked="0"/>
    </xf>
    <xf numFmtId="0" fontId="4" fillId="2" borderId="4" xfId="0" applyFont="1" applyFill="1" applyBorder="1" applyAlignment="1" applyProtection="1">
      <alignment horizontal="center" vertical="top" readingOrder="1"/>
      <protection locked="0"/>
    </xf>
    <xf numFmtId="0" fontId="4" fillId="2" borderId="6" xfId="0" applyFont="1" applyFill="1" applyBorder="1" applyAlignment="1" applyProtection="1">
      <alignment horizontal="center" vertical="top" readingOrder="1"/>
      <protection locked="0"/>
    </xf>
    <xf numFmtId="0" fontId="4" fillId="2" borderId="5" xfId="0" applyFont="1" applyFill="1" applyBorder="1" applyAlignment="1" applyProtection="1">
      <alignment horizontal="center" vertical="top" readingOrder="1"/>
      <protection locked="0"/>
    </xf>
    <xf numFmtId="0" fontId="4" fillId="0" borderId="26" xfId="0" applyFont="1" applyBorder="1" applyAlignment="1" applyProtection="1">
      <alignment vertical="top" readingOrder="1"/>
      <protection locked="0"/>
    </xf>
    <xf numFmtId="0" fontId="4" fillId="0" borderId="17" xfId="0" applyFont="1" applyBorder="1" applyAlignment="1" applyProtection="1">
      <alignment vertical="top" readingOrder="1"/>
      <protection locked="0"/>
    </xf>
    <xf numFmtId="165" fontId="4" fillId="0" borderId="21" xfId="0" applyNumberFormat="1" applyFont="1" applyBorder="1" applyAlignment="1" applyProtection="1">
      <alignment vertical="top" readingOrder="1"/>
      <protection locked="0"/>
    </xf>
    <xf numFmtId="164" fontId="4" fillId="0" borderId="17" xfId="0" applyNumberFormat="1" applyFont="1" applyBorder="1" applyAlignment="1" applyProtection="1">
      <alignment horizontal="right" vertical="top" readingOrder="1"/>
      <protection locked="0"/>
    </xf>
    <xf numFmtId="0" fontId="4" fillId="0" borderId="21" xfId="0" applyFont="1" applyBorder="1" applyAlignment="1" applyProtection="1">
      <alignment horizontal="center" vertical="top" readingOrder="1"/>
      <protection locked="0"/>
    </xf>
    <xf numFmtId="0" fontId="4" fillId="0" borderId="27" xfId="0" applyFont="1" applyBorder="1" applyAlignment="1" applyProtection="1">
      <alignment vertical="top" readingOrder="1"/>
      <protection locked="0"/>
    </xf>
    <xf numFmtId="0" fontId="4" fillId="0" borderId="18" xfId="0" applyFont="1" applyBorder="1" applyAlignment="1" applyProtection="1">
      <alignment vertical="top" readingOrder="1"/>
      <protection locked="0"/>
    </xf>
    <xf numFmtId="165" fontId="4" fillId="0" borderId="22" xfId="0" applyNumberFormat="1" applyFont="1" applyBorder="1" applyAlignment="1" applyProtection="1">
      <alignment vertical="top" readingOrder="1"/>
      <protection locked="0"/>
    </xf>
    <xf numFmtId="164" fontId="4" fillId="0" borderId="18" xfId="0" applyNumberFormat="1" applyFont="1" applyBorder="1" applyAlignment="1" applyProtection="1">
      <alignment horizontal="right" vertical="top" readingOrder="1"/>
      <protection locked="0"/>
    </xf>
    <xf numFmtId="0" fontId="4" fillId="0" borderId="22" xfId="0" applyFont="1" applyBorder="1" applyAlignment="1" applyProtection="1">
      <alignment horizontal="center" vertical="top" readingOrder="1"/>
      <protection locked="0"/>
    </xf>
    <xf numFmtId="0" fontId="4" fillId="0" borderId="28" xfId="0" applyFont="1" applyBorder="1" applyAlignment="1" applyProtection="1">
      <alignment vertical="top" readingOrder="1"/>
      <protection locked="0"/>
    </xf>
    <xf numFmtId="0" fontId="4" fillId="0" borderId="20" xfId="0" applyFont="1" applyBorder="1" applyAlignment="1" applyProtection="1">
      <alignment vertical="top" readingOrder="1"/>
      <protection locked="0"/>
    </xf>
    <xf numFmtId="165" fontId="4" fillId="0" borderId="11" xfId="0" applyNumberFormat="1" applyFont="1" applyBorder="1" applyAlignment="1" applyProtection="1">
      <alignment vertical="top" readingOrder="1"/>
      <protection locked="0"/>
    </xf>
    <xf numFmtId="164" fontId="4" fillId="0" borderId="20" xfId="0" applyNumberFormat="1" applyFont="1" applyBorder="1" applyAlignment="1" applyProtection="1">
      <alignment horizontal="right" vertical="top" readingOrder="1"/>
      <protection locked="0"/>
    </xf>
    <xf numFmtId="0" fontId="4" fillId="0" borderId="11" xfId="0" applyFont="1" applyBorder="1" applyAlignment="1" applyProtection="1">
      <alignment horizontal="center" vertical="center" readingOrder="1"/>
      <protection locked="0"/>
    </xf>
    <xf numFmtId="0" fontId="5" fillId="0" borderId="34" xfId="0" applyFont="1" applyBorder="1" applyAlignment="1" applyProtection="1">
      <alignment vertical="top" readingOrder="1"/>
      <protection locked="0"/>
    </xf>
    <xf numFmtId="0" fontId="5" fillId="0" borderId="35" xfId="0" applyFont="1" applyBorder="1" applyAlignment="1" applyProtection="1">
      <alignment vertical="top" readingOrder="1"/>
      <protection locked="0"/>
    </xf>
    <xf numFmtId="164" fontId="2" fillId="0" borderId="3" xfId="0" applyNumberFormat="1" applyFont="1" applyBorder="1" applyAlignment="1" applyProtection="1">
      <alignment horizontal="right" vertical="top" readingOrder="1"/>
      <protection locked="0"/>
    </xf>
    <xf numFmtId="0" fontId="3" fillId="0" borderId="36" xfId="0" applyFont="1" applyBorder="1" applyAlignment="1" applyProtection="1">
      <alignment vertical="top" readingOrder="1"/>
      <protection locked="0"/>
    </xf>
    <xf numFmtId="0" fontId="2" fillId="7" borderId="6" xfId="0" applyFont="1" applyFill="1" applyBorder="1" applyAlignment="1" applyProtection="1">
      <alignment horizontal="center" vertical="top" readingOrder="1"/>
      <protection locked="0"/>
    </xf>
    <xf numFmtId="164" fontId="2" fillId="5" borderId="6" xfId="0" applyNumberFormat="1" applyFont="1" applyFill="1" applyBorder="1" applyAlignment="1" applyProtection="1">
      <alignment horizontal="right" vertical="top" readingOrder="1"/>
      <protection locked="0"/>
    </xf>
    <xf numFmtId="0" fontId="4" fillId="6" borderId="17" xfId="0" applyFont="1" applyFill="1" applyBorder="1" applyAlignment="1" applyProtection="1">
      <alignment vertical="top" readingOrder="1"/>
      <protection locked="0"/>
    </xf>
    <xf numFmtId="0" fontId="4" fillId="6" borderId="18" xfId="0" applyFont="1" applyFill="1" applyBorder="1" applyAlignment="1" applyProtection="1">
      <alignment vertical="top" readingOrder="1"/>
      <protection locked="0"/>
    </xf>
    <xf numFmtId="164" fontId="4" fillId="8" borderId="17" xfId="0" applyNumberFormat="1" applyFont="1" applyFill="1" applyBorder="1" applyAlignment="1" applyProtection="1">
      <alignment horizontal="right" vertical="top" wrapText="1" readingOrder="1"/>
      <protection locked="0"/>
    </xf>
    <xf numFmtId="164" fontId="4" fillId="8" borderId="18" xfId="0" applyNumberFormat="1" applyFont="1" applyFill="1" applyBorder="1" applyAlignment="1" applyProtection="1">
      <alignment horizontal="right" vertical="top" wrapText="1" readingOrder="1"/>
      <protection locked="0"/>
    </xf>
    <xf numFmtId="164" fontId="4" fillId="8" borderId="20" xfId="0" applyNumberFormat="1" applyFont="1" applyFill="1" applyBorder="1" applyAlignment="1" applyProtection="1">
      <alignment horizontal="right" vertical="top" wrapText="1" readingOrder="1"/>
      <protection locked="0"/>
    </xf>
    <xf numFmtId="3" fontId="7" fillId="8" borderId="6" xfId="0" applyNumberFormat="1" applyFont="1" applyFill="1" applyBorder="1" applyAlignment="1">
      <alignment horizontal="right"/>
    </xf>
    <xf numFmtId="0" fontId="7" fillId="8" borderId="13" xfId="0" applyFont="1" applyFill="1" applyBorder="1" applyAlignment="1">
      <alignment horizontal="right"/>
    </xf>
    <xf numFmtId="164" fontId="7" fillId="8" borderId="6" xfId="0" applyNumberFormat="1" applyFont="1" applyFill="1" applyBorder="1" applyAlignment="1">
      <alignment horizontal="right"/>
    </xf>
    <xf numFmtId="3" fontId="7" fillId="8" borderId="12" xfId="0" applyNumberFormat="1" applyFont="1" applyFill="1" applyBorder="1" applyAlignment="1">
      <alignment horizontal="right"/>
    </xf>
    <xf numFmtId="3" fontId="7" fillId="8" borderId="33" xfId="0" applyNumberFormat="1" applyFont="1" applyFill="1" applyBorder="1" applyAlignment="1">
      <alignment horizontal="right"/>
    </xf>
    <xf numFmtId="0" fontId="4" fillId="9" borderId="18" xfId="0" applyFont="1" applyFill="1" applyBorder="1" applyAlignment="1" applyProtection="1">
      <alignment vertical="top" wrapText="1" readingOrder="1"/>
      <protection locked="0"/>
    </xf>
    <xf numFmtId="0" fontId="2" fillId="0" borderId="25" xfId="0" applyFont="1" applyBorder="1" applyAlignment="1" applyProtection="1">
      <alignment vertical="top" wrapText="1" readingOrder="1"/>
      <protection locked="0"/>
    </xf>
    <xf numFmtId="0" fontId="0" fillId="0" borderId="31" xfId="0" applyBorder="1"/>
    <xf numFmtId="0" fontId="0" fillId="0" borderId="23" xfId="0" applyBorder="1"/>
    <xf numFmtId="0" fontId="2" fillId="0" borderId="25" xfId="0" applyFont="1" applyBorder="1" applyAlignment="1" applyProtection="1">
      <alignment vertical="top" readingOrder="1"/>
      <protection locked="0"/>
    </xf>
    <xf numFmtId="0" fontId="0" fillId="0" borderId="31" xfId="0" applyBorder="1" applyAlignment="1">
      <alignment readingOrder="1"/>
    </xf>
    <xf numFmtId="0" fontId="0" fillId="0" borderId="23" xfId="0" applyBorder="1" applyAlignment="1">
      <alignment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B13" sqref="B13"/>
    </sheetView>
  </sheetViews>
  <sheetFormatPr baseColWidth="10" defaultRowHeight="15" x14ac:dyDescent="0.25"/>
  <cols>
    <col min="1" max="1" width="5.42578125" customWidth="1"/>
    <col min="2" max="2" width="7.7109375" customWidth="1"/>
    <col min="3" max="3" width="10" customWidth="1"/>
    <col min="4" max="4" width="26.28515625" customWidth="1"/>
    <col min="5" max="5" width="10" customWidth="1"/>
    <col min="6" max="6" width="10.85546875" customWidth="1"/>
    <col min="7" max="7" width="8" customWidth="1"/>
    <col min="8" max="8" width="10" customWidth="1"/>
    <col min="9" max="9" width="10.140625" customWidth="1"/>
    <col min="10" max="10" width="9.42578125" customWidth="1"/>
    <col min="11" max="11" width="8.28515625" customWidth="1"/>
    <col min="12" max="12" width="8.42578125" customWidth="1"/>
  </cols>
  <sheetData>
    <row r="1" spans="1:12" ht="15.75" thickBot="1" x14ac:dyDescent="0.3"/>
    <row r="2" spans="1:12" ht="15.75" thickBot="1" x14ac:dyDescent="0.3">
      <c r="B2" s="108" t="s">
        <v>42</v>
      </c>
      <c r="C2" s="109"/>
      <c r="D2" s="110"/>
      <c r="E2" s="4"/>
      <c r="F2" s="4"/>
      <c r="G2" s="4"/>
      <c r="H2" s="7">
        <v>1</v>
      </c>
      <c r="I2" s="30">
        <v>2</v>
      </c>
      <c r="J2" s="7">
        <v>3</v>
      </c>
      <c r="K2" s="12">
        <v>4</v>
      </c>
    </row>
    <row r="3" spans="1:12" ht="23.25" thickBot="1" x14ac:dyDescent="0.3">
      <c r="B3" s="6" t="s">
        <v>0</v>
      </c>
      <c r="C3" s="3" t="s">
        <v>1</v>
      </c>
      <c r="D3" s="3" t="s">
        <v>2</v>
      </c>
      <c r="E3" s="11" t="s">
        <v>3</v>
      </c>
      <c r="F3" s="3" t="s">
        <v>4</v>
      </c>
      <c r="G3" s="11" t="s">
        <v>5</v>
      </c>
      <c r="H3" s="14" t="s">
        <v>57</v>
      </c>
      <c r="I3" s="13" t="s">
        <v>8</v>
      </c>
      <c r="J3" s="14" t="s">
        <v>6</v>
      </c>
      <c r="K3" s="15" t="s">
        <v>7</v>
      </c>
      <c r="L3" s="49" t="s">
        <v>53</v>
      </c>
    </row>
    <row r="4" spans="1:12" x14ac:dyDescent="0.25">
      <c r="A4">
        <v>1</v>
      </c>
      <c r="B4" s="31">
        <v>45168</v>
      </c>
      <c r="C4" s="24" t="s">
        <v>41</v>
      </c>
      <c r="D4" s="24" t="s">
        <v>46</v>
      </c>
      <c r="E4" s="26">
        <v>45722</v>
      </c>
      <c r="F4" s="10">
        <v>59900</v>
      </c>
      <c r="G4" s="21">
        <v>4</v>
      </c>
      <c r="H4" s="99">
        <v>14975</v>
      </c>
      <c r="I4" s="69">
        <v>14975</v>
      </c>
      <c r="J4" s="99">
        <v>14975</v>
      </c>
      <c r="K4" s="69">
        <v>14975</v>
      </c>
      <c r="L4" s="56">
        <v>4442</v>
      </c>
    </row>
    <row r="5" spans="1:12" x14ac:dyDescent="0.25">
      <c r="A5">
        <v>2</v>
      </c>
      <c r="B5" s="32">
        <v>45177</v>
      </c>
      <c r="C5" s="25" t="s">
        <v>40</v>
      </c>
      <c r="D5" s="59" t="s">
        <v>47</v>
      </c>
      <c r="E5" s="27">
        <v>45722</v>
      </c>
      <c r="F5" s="8">
        <v>100000</v>
      </c>
      <c r="G5" s="20">
        <v>4</v>
      </c>
      <c r="H5" s="100">
        <v>25000</v>
      </c>
      <c r="I5" s="70">
        <v>25000</v>
      </c>
      <c r="J5" s="100">
        <v>25000</v>
      </c>
      <c r="K5" s="70">
        <v>25000</v>
      </c>
      <c r="L5" s="57">
        <v>4443</v>
      </c>
    </row>
    <row r="6" spans="1:12" x14ac:dyDescent="0.25">
      <c r="A6">
        <v>3</v>
      </c>
      <c r="B6" s="32">
        <v>45179</v>
      </c>
      <c r="C6" s="25" t="s">
        <v>40</v>
      </c>
      <c r="D6" s="59" t="s">
        <v>47</v>
      </c>
      <c r="E6" s="27">
        <v>45722</v>
      </c>
      <c r="F6" s="8">
        <v>190000</v>
      </c>
      <c r="G6" s="20">
        <v>4</v>
      </c>
      <c r="H6" s="100">
        <v>47500</v>
      </c>
      <c r="I6" s="70">
        <v>47500</v>
      </c>
      <c r="J6" s="100">
        <v>47500</v>
      </c>
      <c r="K6" s="70">
        <v>47500</v>
      </c>
      <c r="L6" s="57">
        <v>4443</v>
      </c>
    </row>
    <row r="7" spans="1:12" x14ac:dyDescent="0.25">
      <c r="A7">
        <v>4</v>
      </c>
      <c r="B7" s="32">
        <v>45163</v>
      </c>
      <c r="C7" s="25" t="s">
        <v>39</v>
      </c>
      <c r="D7" s="25" t="s">
        <v>48</v>
      </c>
      <c r="E7" s="27">
        <v>45722</v>
      </c>
      <c r="F7" s="8">
        <v>59900</v>
      </c>
      <c r="G7" s="20">
        <v>4</v>
      </c>
      <c r="H7" s="100">
        <v>14975</v>
      </c>
      <c r="I7" s="70">
        <v>14975</v>
      </c>
      <c r="J7" s="100">
        <v>14975</v>
      </c>
      <c r="K7" s="70">
        <v>14975</v>
      </c>
      <c r="L7" s="57">
        <v>4444</v>
      </c>
    </row>
    <row r="8" spans="1:12" x14ac:dyDescent="0.25">
      <c r="A8">
        <v>5</v>
      </c>
      <c r="B8" s="32">
        <v>45166</v>
      </c>
      <c r="C8" s="25" t="s">
        <v>38</v>
      </c>
      <c r="D8" s="25" t="s">
        <v>37</v>
      </c>
      <c r="E8" s="27">
        <v>45722</v>
      </c>
      <c r="F8" s="8">
        <v>135000</v>
      </c>
      <c r="G8" s="20">
        <v>4</v>
      </c>
      <c r="H8" s="100">
        <v>33750</v>
      </c>
      <c r="I8" s="70">
        <v>33750</v>
      </c>
      <c r="J8" s="100">
        <v>33750</v>
      </c>
      <c r="K8" s="70">
        <v>33750</v>
      </c>
      <c r="L8" s="57">
        <v>4445</v>
      </c>
    </row>
    <row r="9" spans="1:12" x14ac:dyDescent="0.25">
      <c r="A9">
        <v>6</v>
      </c>
      <c r="B9" s="32">
        <v>45164</v>
      </c>
      <c r="C9" s="25" t="s">
        <v>36</v>
      </c>
      <c r="D9" s="25" t="s">
        <v>35</v>
      </c>
      <c r="E9" s="27">
        <v>45722</v>
      </c>
      <c r="F9" s="8">
        <v>199900</v>
      </c>
      <c r="G9" s="20">
        <v>4</v>
      </c>
      <c r="H9" s="100">
        <v>49975</v>
      </c>
      <c r="I9" s="70">
        <v>49975</v>
      </c>
      <c r="J9" s="100">
        <v>49975</v>
      </c>
      <c r="K9" s="70">
        <v>49975</v>
      </c>
      <c r="L9" s="57">
        <v>4446</v>
      </c>
    </row>
    <row r="10" spans="1:12" x14ac:dyDescent="0.25">
      <c r="A10">
        <v>7</v>
      </c>
      <c r="B10" s="32">
        <v>45173</v>
      </c>
      <c r="C10" s="25" t="s">
        <v>34</v>
      </c>
      <c r="D10" s="25" t="s">
        <v>49</v>
      </c>
      <c r="E10" s="27">
        <v>45722</v>
      </c>
      <c r="F10" s="8">
        <v>190001</v>
      </c>
      <c r="G10" s="20">
        <v>4</v>
      </c>
      <c r="H10" s="100">
        <v>47500</v>
      </c>
      <c r="I10" s="70">
        <v>47500</v>
      </c>
      <c r="J10" s="100">
        <v>47500</v>
      </c>
      <c r="K10" s="70">
        <v>47500</v>
      </c>
      <c r="L10" s="57">
        <v>4447</v>
      </c>
    </row>
    <row r="11" spans="1:12" x14ac:dyDescent="0.25">
      <c r="A11">
        <v>8</v>
      </c>
      <c r="B11" s="32">
        <v>45159</v>
      </c>
      <c r="C11" s="25" t="s">
        <v>33</v>
      </c>
      <c r="D11" s="25" t="s">
        <v>32</v>
      </c>
      <c r="E11" s="27">
        <v>45722</v>
      </c>
      <c r="F11" s="8">
        <v>135000</v>
      </c>
      <c r="G11" s="20">
        <v>4</v>
      </c>
      <c r="H11" s="100">
        <v>33750</v>
      </c>
      <c r="I11" s="70">
        <v>33750</v>
      </c>
      <c r="J11" s="100">
        <v>33750</v>
      </c>
      <c r="K11" s="70">
        <v>33750</v>
      </c>
      <c r="L11" s="57">
        <v>4448</v>
      </c>
    </row>
    <row r="12" spans="1:12" x14ac:dyDescent="0.25">
      <c r="A12">
        <v>9</v>
      </c>
      <c r="B12" s="32">
        <v>45171</v>
      </c>
      <c r="C12" s="25" t="s">
        <v>31</v>
      </c>
      <c r="D12" s="25" t="s">
        <v>50</v>
      </c>
      <c r="E12" s="27">
        <v>45722</v>
      </c>
      <c r="F12" s="8">
        <v>59900</v>
      </c>
      <c r="G12" s="20">
        <v>4</v>
      </c>
      <c r="H12" s="100">
        <v>14975</v>
      </c>
      <c r="I12" s="70">
        <v>14975</v>
      </c>
      <c r="J12" s="100">
        <v>14975</v>
      </c>
      <c r="K12" s="70">
        <v>14975</v>
      </c>
      <c r="L12" s="57">
        <v>4449</v>
      </c>
    </row>
    <row r="13" spans="1:12" x14ac:dyDescent="0.25">
      <c r="A13">
        <v>10</v>
      </c>
      <c r="B13" s="32">
        <v>45175</v>
      </c>
      <c r="C13" s="25" t="s">
        <v>30</v>
      </c>
      <c r="D13" s="25" t="s">
        <v>51</v>
      </c>
      <c r="E13" s="27">
        <v>45722</v>
      </c>
      <c r="F13" s="8">
        <v>130000</v>
      </c>
      <c r="G13" s="20">
        <v>4</v>
      </c>
      <c r="H13" s="100">
        <v>32500</v>
      </c>
      <c r="I13" s="70">
        <v>32500</v>
      </c>
      <c r="J13" s="100">
        <v>32500</v>
      </c>
      <c r="K13" s="70">
        <v>32500</v>
      </c>
      <c r="L13" s="57">
        <v>4450</v>
      </c>
    </row>
    <row r="14" spans="1:12" x14ac:dyDescent="0.25">
      <c r="A14">
        <v>11</v>
      </c>
      <c r="B14" s="32">
        <v>45178</v>
      </c>
      <c r="C14" s="25" t="s">
        <v>29</v>
      </c>
      <c r="D14" s="25" t="s">
        <v>28</v>
      </c>
      <c r="E14" s="27">
        <v>45722</v>
      </c>
      <c r="F14" s="8">
        <v>220000</v>
      </c>
      <c r="G14" s="20">
        <v>4</v>
      </c>
      <c r="H14" s="100">
        <v>55000</v>
      </c>
      <c r="I14" s="70">
        <v>55000</v>
      </c>
      <c r="J14" s="100">
        <v>55000</v>
      </c>
      <c r="K14" s="70">
        <v>55000</v>
      </c>
      <c r="L14" s="57">
        <v>4451</v>
      </c>
    </row>
    <row r="15" spans="1:12" x14ac:dyDescent="0.25">
      <c r="A15">
        <v>12</v>
      </c>
      <c r="B15" s="32">
        <v>45165</v>
      </c>
      <c r="C15" s="25" t="s">
        <v>27</v>
      </c>
      <c r="D15" s="25" t="s">
        <v>26</v>
      </c>
      <c r="E15" s="27">
        <v>45722</v>
      </c>
      <c r="F15" s="8">
        <v>140000</v>
      </c>
      <c r="G15" s="20">
        <v>4</v>
      </c>
      <c r="H15" s="100">
        <v>35000</v>
      </c>
      <c r="I15" s="70">
        <v>35000</v>
      </c>
      <c r="J15" s="100">
        <v>35000</v>
      </c>
      <c r="K15" s="70">
        <v>35000</v>
      </c>
      <c r="L15" s="57">
        <v>4452</v>
      </c>
    </row>
    <row r="16" spans="1:12" x14ac:dyDescent="0.25">
      <c r="A16">
        <v>13</v>
      </c>
      <c r="B16" s="32">
        <v>45169</v>
      </c>
      <c r="C16" s="25" t="s">
        <v>25</v>
      </c>
      <c r="D16" s="25" t="s">
        <v>24</v>
      </c>
      <c r="E16" s="27">
        <v>45722</v>
      </c>
      <c r="F16" s="8">
        <v>175000</v>
      </c>
      <c r="G16" s="20">
        <v>4</v>
      </c>
      <c r="H16" s="100">
        <v>43750</v>
      </c>
      <c r="I16" s="70">
        <v>43750</v>
      </c>
      <c r="J16" s="100">
        <v>43750</v>
      </c>
      <c r="K16" s="70">
        <v>43750</v>
      </c>
      <c r="L16" s="57">
        <v>4453</v>
      </c>
    </row>
    <row r="17" spans="1:13" x14ac:dyDescent="0.25">
      <c r="A17">
        <v>14</v>
      </c>
      <c r="B17" s="32">
        <v>45176</v>
      </c>
      <c r="C17" s="25" t="s">
        <v>23</v>
      </c>
      <c r="D17" s="107" t="s">
        <v>22</v>
      </c>
      <c r="E17" s="27">
        <v>45722</v>
      </c>
      <c r="F17" s="8">
        <v>59900</v>
      </c>
      <c r="G17" s="20">
        <v>4</v>
      </c>
      <c r="H17" s="100">
        <v>14975</v>
      </c>
      <c r="I17" s="70">
        <v>14975</v>
      </c>
      <c r="J17" s="100">
        <v>14975</v>
      </c>
      <c r="K17" s="70">
        <v>14975</v>
      </c>
      <c r="L17" s="57">
        <v>4454</v>
      </c>
      <c r="M17" t="s">
        <v>60</v>
      </c>
    </row>
    <row r="18" spans="1:13" x14ac:dyDescent="0.25">
      <c r="A18">
        <v>15</v>
      </c>
      <c r="B18" s="32">
        <v>45160</v>
      </c>
      <c r="C18" s="25" t="s">
        <v>21</v>
      </c>
      <c r="D18" s="25" t="s">
        <v>20</v>
      </c>
      <c r="E18" s="27">
        <v>45722</v>
      </c>
      <c r="F18" s="8">
        <v>245000</v>
      </c>
      <c r="G18" s="20">
        <v>4</v>
      </c>
      <c r="H18" s="100">
        <v>61250</v>
      </c>
      <c r="I18" s="70">
        <v>61250</v>
      </c>
      <c r="J18" s="100">
        <v>61250</v>
      </c>
      <c r="K18" s="70">
        <v>61250</v>
      </c>
      <c r="L18" s="57">
        <v>4455</v>
      </c>
    </row>
    <row r="19" spans="1:13" x14ac:dyDescent="0.25">
      <c r="A19">
        <v>16</v>
      </c>
      <c r="B19" s="32">
        <v>45167</v>
      </c>
      <c r="C19" s="25" t="s">
        <v>19</v>
      </c>
      <c r="D19" s="59" t="s">
        <v>18</v>
      </c>
      <c r="E19" s="27">
        <v>45722</v>
      </c>
      <c r="F19" s="8">
        <v>59900</v>
      </c>
      <c r="G19" s="20">
        <v>4</v>
      </c>
      <c r="H19" s="100">
        <v>14975</v>
      </c>
      <c r="I19" s="70">
        <v>14975</v>
      </c>
      <c r="J19" s="100">
        <v>14975</v>
      </c>
      <c r="K19" s="70">
        <v>14975</v>
      </c>
      <c r="L19" s="57">
        <v>4456</v>
      </c>
    </row>
    <row r="20" spans="1:13" x14ac:dyDescent="0.25">
      <c r="A20">
        <v>17</v>
      </c>
      <c r="B20" s="32">
        <v>45172</v>
      </c>
      <c r="C20" s="25" t="s">
        <v>19</v>
      </c>
      <c r="D20" s="59" t="s">
        <v>18</v>
      </c>
      <c r="E20" s="27">
        <v>45722</v>
      </c>
      <c r="F20" s="8">
        <v>35900</v>
      </c>
      <c r="G20" s="20">
        <v>4</v>
      </c>
      <c r="H20" s="100">
        <v>8975</v>
      </c>
      <c r="I20" s="70">
        <v>8975</v>
      </c>
      <c r="J20" s="100">
        <v>8975</v>
      </c>
      <c r="K20" s="70">
        <v>8975</v>
      </c>
      <c r="L20" s="57">
        <v>4456</v>
      </c>
    </row>
    <row r="21" spans="1:13" ht="15.75" thickBot="1" x14ac:dyDescent="0.3">
      <c r="A21">
        <v>18</v>
      </c>
      <c r="B21" s="23">
        <v>45170</v>
      </c>
      <c r="C21" s="28" t="s">
        <v>17</v>
      </c>
      <c r="D21" s="28" t="s">
        <v>52</v>
      </c>
      <c r="E21" s="29">
        <v>45722</v>
      </c>
      <c r="F21" s="9">
        <v>100000</v>
      </c>
      <c r="G21" s="55">
        <v>4</v>
      </c>
      <c r="H21" s="101">
        <v>25000</v>
      </c>
      <c r="I21" s="71">
        <v>25000</v>
      </c>
      <c r="J21" s="101">
        <v>25000</v>
      </c>
      <c r="K21" s="71">
        <v>25000</v>
      </c>
      <c r="L21" s="58">
        <v>4457</v>
      </c>
    </row>
    <row r="22" spans="1:13" ht="15.75" thickBot="1" x14ac:dyDescent="0.3">
      <c r="B22" s="16"/>
      <c r="C22" s="16"/>
      <c r="D22" s="16"/>
      <c r="E22" s="17"/>
      <c r="F22" s="22">
        <f>SUM(F4:F21)</f>
        <v>2295301</v>
      </c>
      <c r="G22" s="50"/>
      <c r="H22" s="19">
        <f>SUM(H4:H21)</f>
        <v>573825</v>
      </c>
      <c r="I22" s="37">
        <f>SUM(I4:I21)</f>
        <v>573825</v>
      </c>
      <c r="J22" s="19">
        <f>SUM(J4:J21)</f>
        <v>573825</v>
      </c>
      <c r="K22" s="38">
        <f>SUM(K4:K21)</f>
        <v>573825</v>
      </c>
    </row>
    <row r="23" spans="1:13" ht="15.75" customHeight="1" thickBot="1" x14ac:dyDescent="0.3">
      <c r="C23" s="60" t="s">
        <v>54</v>
      </c>
      <c r="H23" s="104">
        <f>SUM(H4:H21)</f>
        <v>573825</v>
      </c>
      <c r="I23" s="65">
        <v>14975</v>
      </c>
      <c r="J23" s="102">
        <v>14975</v>
      </c>
      <c r="K23" s="105">
        <v>14975</v>
      </c>
    </row>
    <row r="24" spans="1:13" ht="15.75" thickBot="1" x14ac:dyDescent="0.3">
      <c r="H24" s="103" t="s">
        <v>55</v>
      </c>
      <c r="I24" s="66">
        <v>558850</v>
      </c>
      <c r="J24" s="102">
        <v>558850</v>
      </c>
      <c r="K24" s="106">
        <v>558850</v>
      </c>
    </row>
    <row r="25" spans="1:13" ht="15.75" thickBot="1" x14ac:dyDescent="0.3">
      <c r="I25" s="67">
        <f>SUM(I23:I24)</f>
        <v>573825</v>
      </c>
      <c r="J25" s="102">
        <f>SUM(J23:J24)</f>
        <v>573825</v>
      </c>
      <c r="K25" s="102">
        <f>SUM(K23:K24)</f>
        <v>573825</v>
      </c>
    </row>
    <row r="26" spans="1:13" ht="15.75" thickBot="1" x14ac:dyDescent="0.3">
      <c r="B26" s="46" t="s">
        <v>16</v>
      </c>
      <c r="C26" s="45"/>
      <c r="D26" s="44"/>
      <c r="G26" s="18"/>
      <c r="H26" s="18"/>
      <c r="I26" s="68" t="s">
        <v>56</v>
      </c>
      <c r="J26" s="103" t="s">
        <v>58</v>
      </c>
      <c r="K26" s="68" t="s">
        <v>59</v>
      </c>
      <c r="L26" s="18"/>
      <c r="M26" s="18"/>
    </row>
    <row r="27" spans="1:13" x14ac:dyDescent="0.25">
      <c r="A27">
        <v>19</v>
      </c>
      <c r="B27" s="36">
        <v>45162</v>
      </c>
      <c r="C27" s="35" t="s">
        <v>15</v>
      </c>
      <c r="D27" s="35" t="s">
        <v>14</v>
      </c>
      <c r="E27" s="54">
        <v>45722</v>
      </c>
      <c r="F27" s="47">
        <v>50001</v>
      </c>
      <c r="G27" s="43"/>
      <c r="H27" s="41"/>
      <c r="I27" s="42"/>
      <c r="J27" s="42"/>
      <c r="K27" s="42"/>
      <c r="L27" s="18"/>
      <c r="M27" s="18"/>
    </row>
    <row r="28" spans="1:13" x14ac:dyDescent="0.25">
      <c r="A28">
        <v>20</v>
      </c>
      <c r="B28" s="39">
        <v>45161</v>
      </c>
      <c r="C28" s="40" t="s">
        <v>13</v>
      </c>
      <c r="D28" s="40" t="s">
        <v>12</v>
      </c>
      <c r="E28" s="53">
        <v>45722</v>
      </c>
      <c r="F28" s="5">
        <v>119000</v>
      </c>
      <c r="G28" s="43" t="s">
        <v>45</v>
      </c>
      <c r="H28" s="41"/>
      <c r="I28" s="42"/>
      <c r="J28" s="42"/>
      <c r="K28" s="42"/>
      <c r="L28" s="18"/>
      <c r="M28" s="18"/>
    </row>
    <row r="29" spans="1:13" ht="15.75" thickBot="1" x14ac:dyDescent="0.3">
      <c r="A29">
        <v>21</v>
      </c>
      <c r="B29" s="34">
        <v>451174</v>
      </c>
      <c r="C29" s="33" t="s">
        <v>11</v>
      </c>
      <c r="D29" s="33" t="s">
        <v>10</v>
      </c>
      <c r="E29" s="52">
        <v>45722</v>
      </c>
      <c r="F29" s="48">
        <v>40000</v>
      </c>
      <c r="G29" s="43"/>
      <c r="H29" s="41"/>
      <c r="I29" s="42"/>
      <c r="J29" s="42"/>
      <c r="K29" s="42"/>
      <c r="L29" s="18"/>
      <c r="M29" s="18"/>
    </row>
    <row r="30" spans="1:13" ht="15.75" thickBot="1" x14ac:dyDescent="0.3">
      <c r="F30" s="2">
        <f>SUM(F27:F29)</f>
        <v>209001</v>
      </c>
      <c r="G30" s="18"/>
      <c r="H30" s="18"/>
      <c r="I30" s="18"/>
      <c r="J30" s="18"/>
      <c r="K30" s="18"/>
      <c r="L30" s="18"/>
      <c r="M30" s="18"/>
    </row>
    <row r="31" spans="1:13" ht="15.75" thickBot="1" x14ac:dyDescent="0.3">
      <c r="F31" s="51" t="s">
        <v>9</v>
      </c>
      <c r="G31" s="18"/>
      <c r="H31" s="18"/>
      <c r="I31" s="18"/>
      <c r="J31" s="18"/>
      <c r="K31" s="18"/>
      <c r="L31" s="18"/>
      <c r="M31" s="18"/>
    </row>
    <row r="32" spans="1:13" ht="15.75" thickBot="1" x14ac:dyDescent="0.3">
      <c r="G32" s="18"/>
      <c r="H32" s="18"/>
      <c r="I32" s="18"/>
      <c r="J32" s="18"/>
      <c r="K32" s="18"/>
      <c r="L32" s="18"/>
      <c r="M32" s="18"/>
    </row>
    <row r="33" spans="4:6" ht="15.75" thickBot="1" x14ac:dyDescent="0.3">
      <c r="D33" t="s">
        <v>44</v>
      </c>
      <c r="F33" s="1">
        <f>F22+F30</f>
        <v>2504302</v>
      </c>
    </row>
    <row r="34" spans="4:6" x14ac:dyDescent="0.25">
      <c r="D34" t="s">
        <v>43</v>
      </c>
    </row>
  </sheetData>
  <mergeCells count="1">
    <mergeCell ref="B2:D2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3"/>
  <sheetViews>
    <sheetView workbookViewId="0">
      <selection activeCell="K16" sqref="K16"/>
    </sheetView>
  </sheetViews>
  <sheetFormatPr baseColWidth="10" defaultRowHeight="15" x14ac:dyDescent="0.25"/>
  <cols>
    <col min="1" max="1" width="6.140625" customWidth="1"/>
    <col min="2" max="2" width="5.5703125" customWidth="1"/>
    <col min="3" max="3" width="9.7109375" customWidth="1"/>
    <col min="4" max="4" width="27.7109375" customWidth="1"/>
    <col min="5" max="5" width="9.140625" customWidth="1"/>
    <col min="6" max="6" width="9.5703125" customWidth="1"/>
    <col min="7" max="7" width="7.85546875" customWidth="1"/>
    <col min="8" max="8" width="10.140625" customWidth="1"/>
  </cols>
  <sheetData>
    <row r="2" spans="2:8" ht="15.75" thickBot="1" x14ac:dyDescent="0.3"/>
    <row r="3" spans="2:8" ht="15.75" thickBot="1" x14ac:dyDescent="0.3">
      <c r="B3" s="108" t="s">
        <v>42</v>
      </c>
      <c r="C3" s="109"/>
      <c r="D3" s="110"/>
      <c r="E3" s="4"/>
      <c r="F3" s="4"/>
      <c r="G3" s="4"/>
      <c r="H3" s="63">
        <v>2</v>
      </c>
    </row>
    <row r="4" spans="2:8" ht="23.25" thickBot="1" x14ac:dyDescent="0.3">
      <c r="B4" s="6" t="s">
        <v>0</v>
      </c>
      <c r="C4" s="3" t="s">
        <v>1</v>
      </c>
      <c r="D4" s="3" t="s">
        <v>2</v>
      </c>
      <c r="E4" s="11" t="s">
        <v>3</v>
      </c>
      <c r="F4" s="3" t="s">
        <v>4</v>
      </c>
      <c r="G4" s="11" t="s">
        <v>5</v>
      </c>
      <c r="H4" s="64" t="s">
        <v>6</v>
      </c>
    </row>
    <row r="5" spans="2:8" x14ac:dyDescent="0.25">
      <c r="B5" s="31">
        <v>45168</v>
      </c>
      <c r="C5" s="24" t="s">
        <v>41</v>
      </c>
      <c r="D5" s="24" t="s">
        <v>46</v>
      </c>
      <c r="E5" s="26">
        <v>45722</v>
      </c>
      <c r="F5" s="10">
        <v>59900</v>
      </c>
      <c r="G5" s="21">
        <v>4</v>
      </c>
      <c r="H5" s="10">
        <v>14975</v>
      </c>
    </row>
    <row r="6" spans="2:8" x14ac:dyDescent="0.25">
      <c r="B6" s="32">
        <v>45177</v>
      </c>
      <c r="C6" s="25" t="s">
        <v>40</v>
      </c>
      <c r="D6" s="62" t="s">
        <v>47</v>
      </c>
      <c r="E6" s="27">
        <v>45722</v>
      </c>
      <c r="F6" s="8">
        <v>100000</v>
      </c>
      <c r="G6" s="20">
        <v>4</v>
      </c>
      <c r="H6" s="8">
        <v>25000</v>
      </c>
    </row>
    <row r="7" spans="2:8" x14ac:dyDescent="0.25">
      <c r="B7" s="32">
        <v>45179</v>
      </c>
      <c r="C7" s="25" t="s">
        <v>40</v>
      </c>
      <c r="D7" s="62" t="s">
        <v>47</v>
      </c>
      <c r="E7" s="27">
        <v>45722</v>
      </c>
      <c r="F7" s="8">
        <v>190000</v>
      </c>
      <c r="G7" s="20">
        <v>4</v>
      </c>
      <c r="H7" s="8">
        <v>47500</v>
      </c>
    </row>
    <row r="8" spans="2:8" x14ac:dyDescent="0.25">
      <c r="B8" s="32">
        <v>45163</v>
      </c>
      <c r="C8" s="25" t="s">
        <v>39</v>
      </c>
      <c r="D8" s="62" t="s">
        <v>48</v>
      </c>
      <c r="E8" s="27">
        <v>45722</v>
      </c>
      <c r="F8" s="8">
        <v>59900</v>
      </c>
      <c r="G8" s="20">
        <v>4</v>
      </c>
      <c r="H8" s="8">
        <v>14975</v>
      </c>
    </row>
    <row r="9" spans="2:8" x14ac:dyDescent="0.25">
      <c r="B9" s="32">
        <v>45166</v>
      </c>
      <c r="C9" s="25" t="s">
        <v>38</v>
      </c>
      <c r="D9" s="62" t="s">
        <v>37</v>
      </c>
      <c r="E9" s="27">
        <v>45722</v>
      </c>
      <c r="F9" s="8">
        <v>135000</v>
      </c>
      <c r="G9" s="20">
        <v>4</v>
      </c>
      <c r="H9" s="8">
        <v>33750</v>
      </c>
    </row>
    <row r="10" spans="2:8" x14ac:dyDescent="0.25">
      <c r="B10" s="32">
        <v>45164</v>
      </c>
      <c r="C10" s="25" t="s">
        <v>36</v>
      </c>
      <c r="D10" s="62" t="s">
        <v>35</v>
      </c>
      <c r="E10" s="27">
        <v>45722</v>
      </c>
      <c r="F10" s="8">
        <v>199900</v>
      </c>
      <c r="G10" s="20">
        <v>4</v>
      </c>
      <c r="H10" s="8">
        <v>49975</v>
      </c>
    </row>
    <row r="11" spans="2:8" x14ac:dyDescent="0.25">
      <c r="B11" s="32">
        <v>45173</v>
      </c>
      <c r="C11" s="25" t="s">
        <v>34</v>
      </c>
      <c r="D11" s="62" t="s">
        <v>49</v>
      </c>
      <c r="E11" s="27">
        <v>45722</v>
      </c>
      <c r="F11" s="8">
        <v>190001</v>
      </c>
      <c r="G11" s="20">
        <v>4</v>
      </c>
      <c r="H11" s="8">
        <v>47500</v>
      </c>
    </row>
    <row r="12" spans="2:8" x14ac:dyDescent="0.25">
      <c r="B12" s="32">
        <v>45159</v>
      </c>
      <c r="C12" s="25" t="s">
        <v>33</v>
      </c>
      <c r="D12" s="62" t="s">
        <v>32</v>
      </c>
      <c r="E12" s="27">
        <v>45722</v>
      </c>
      <c r="F12" s="8">
        <v>135000</v>
      </c>
      <c r="G12" s="20">
        <v>4</v>
      </c>
      <c r="H12" s="8">
        <v>33750</v>
      </c>
    </row>
    <row r="13" spans="2:8" x14ac:dyDescent="0.25">
      <c r="B13" s="32">
        <v>45171</v>
      </c>
      <c r="C13" s="25" t="s">
        <v>31</v>
      </c>
      <c r="D13" s="62" t="s">
        <v>50</v>
      </c>
      <c r="E13" s="27">
        <v>45722</v>
      </c>
      <c r="F13" s="8">
        <v>59900</v>
      </c>
      <c r="G13" s="20">
        <v>4</v>
      </c>
      <c r="H13" s="8">
        <v>14975</v>
      </c>
    </row>
    <row r="14" spans="2:8" x14ac:dyDescent="0.25">
      <c r="B14" s="32">
        <v>45175</v>
      </c>
      <c r="C14" s="25" t="s">
        <v>30</v>
      </c>
      <c r="D14" s="62" t="s">
        <v>51</v>
      </c>
      <c r="E14" s="27">
        <v>45722</v>
      </c>
      <c r="F14" s="8">
        <v>130000</v>
      </c>
      <c r="G14" s="20">
        <v>4</v>
      </c>
      <c r="H14" s="8">
        <v>32500</v>
      </c>
    </row>
    <row r="15" spans="2:8" x14ac:dyDescent="0.25">
      <c r="B15" s="32">
        <v>45178</v>
      </c>
      <c r="C15" s="25" t="s">
        <v>29</v>
      </c>
      <c r="D15" s="62" t="s">
        <v>28</v>
      </c>
      <c r="E15" s="27">
        <v>45722</v>
      </c>
      <c r="F15" s="8">
        <v>220000</v>
      </c>
      <c r="G15" s="20">
        <v>4</v>
      </c>
      <c r="H15" s="8">
        <v>55000</v>
      </c>
    </row>
    <row r="16" spans="2:8" x14ac:dyDescent="0.25">
      <c r="B16" s="32">
        <v>45165</v>
      </c>
      <c r="C16" s="25" t="s">
        <v>27</v>
      </c>
      <c r="D16" s="62" t="s">
        <v>26</v>
      </c>
      <c r="E16" s="27">
        <v>45722</v>
      </c>
      <c r="F16" s="8">
        <v>140000</v>
      </c>
      <c r="G16" s="20">
        <v>4</v>
      </c>
      <c r="H16" s="8">
        <v>35000</v>
      </c>
    </row>
    <row r="17" spans="2:8" x14ac:dyDescent="0.25">
      <c r="B17" s="32">
        <v>45169</v>
      </c>
      <c r="C17" s="25" t="s">
        <v>25</v>
      </c>
      <c r="D17" s="62" t="s">
        <v>24</v>
      </c>
      <c r="E17" s="27">
        <v>45722</v>
      </c>
      <c r="F17" s="8">
        <v>175000</v>
      </c>
      <c r="G17" s="20">
        <v>4</v>
      </c>
      <c r="H17" s="8">
        <v>43750</v>
      </c>
    </row>
    <row r="18" spans="2:8" x14ac:dyDescent="0.25">
      <c r="B18" s="32">
        <v>45176</v>
      </c>
      <c r="C18" s="25" t="s">
        <v>23</v>
      </c>
      <c r="D18" s="62" t="s">
        <v>22</v>
      </c>
      <c r="E18" s="27">
        <v>45722</v>
      </c>
      <c r="F18" s="8">
        <v>59900</v>
      </c>
      <c r="G18" s="20">
        <v>4</v>
      </c>
      <c r="H18" s="8">
        <v>14975</v>
      </c>
    </row>
    <row r="19" spans="2:8" x14ac:dyDescent="0.25">
      <c r="B19" s="32">
        <v>45160</v>
      </c>
      <c r="C19" s="25" t="s">
        <v>21</v>
      </c>
      <c r="D19" s="62" t="s">
        <v>20</v>
      </c>
      <c r="E19" s="27">
        <v>45722</v>
      </c>
      <c r="F19" s="8">
        <v>245000</v>
      </c>
      <c r="G19" s="20">
        <v>4</v>
      </c>
      <c r="H19" s="8">
        <v>61250</v>
      </c>
    </row>
    <row r="20" spans="2:8" x14ac:dyDescent="0.25">
      <c r="B20" s="32">
        <v>45167</v>
      </c>
      <c r="C20" s="25" t="s">
        <v>19</v>
      </c>
      <c r="D20" s="62" t="s">
        <v>18</v>
      </c>
      <c r="E20" s="27">
        <v>45722</v>
      </c>
      <c r="F20" s="8">
        <v>59900</v>
      </c>
      <c r="G20" s="20">
        <v>4</v>
      </c>
      <c r="H20" s="8">
        <v>14975</v>
      </c>
    </row>
    <row r="21" spans="2:8" x14ac:dyDescent="0.25">
      <c r="B21" s="32">
        <v>45172</v>
      </c>
      <c r="C21" s="25" t="s">
        <v>19</v>
      </c>
      <c r="D21" s="62" t="s">
        <v>18</v>
      </c>
      <c r="E21" s="27">
        <v>45722</v>
      </c>
      <c r="F21" s="8">
        <v>35900</v>
      </c>
      <c r="G21" s="20">
        <v>4</v>
      </c>
      <c r="H21" s="8">
        <v>8975</v>
      </c>
    </row>
    <row r="22" spans="2:8" ht="15.75" thickBot="1" x14ac:dyDescent="0.3">
      <c r="B22" s="23">
        <v>45170</v>
      </c>
      <c r="C22" s="28" t="s">
        <v>17</v>
      </c>
      <c r="D22" s="28" t="s">
        <v>52</v>
      </c>
      <c r="E22" s="29">
        <v>45722</v>
      </c>
      <c r="F22" s="9">
        <v>100000</v>
      </c>
      <c r="G22" s="55">
        <v>4</v>
      </c>
      <c r="H22" s="9">
        <v>25000</v>
      </c>
    </row>
    <row r="23" spans="2:8" ht="15.75" thickBot="1" x14ac:dyDescent="0.3">
      <c r="B23" s="16"/>
      <c r="C23" s="16"/>
      <c r="D23" s="16"/>
      <c r="E23" s="17"/>
      <c r="F23" s="22">
        <f>SUM(F5:F22)</f>
        <v>2295301</v>
      </c>
      <c r="G23" s="50"/>
      <c r="H23" s="61">
        <f>SUM(H5:H22)</f>
        <v>573825</v>
      </c>
    </row>
  </sheetData>
  <mergeCells count="1"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2"/>
  <sheetViews>
    <sheetView workbookViewId="0">
      <selection activeCell="J7" sqref="J7"/>
    </sheetView>
  </sheetViews>
  <sheetFormatPr baseColWidth="10" defaultRowHeight="15" x14ac:dyDescent="0.25"/>
  <cols>
    <col min="1" max="1" width="5.5703125" customWidth="1"/>
    <col min="2" max="2" width="7.28515625" customWidth="1"/>
    <col min="3" max="3" width="9.42578125" customWidth="1"/>
    <col min="4" max="4" width="28.140625" customWidth="1"/>
    <col min="5" max="5" width="9.28515625" customWidth="1"/>
    <col min="6" max="6" width="10.5703125" customWidth="1"/>
    <col min="7" max="7" width="7.5703125" customWidth="1"/>
    <col min="8" max="8" width="8.85546875" customWidth="1"/>
  </cols>
  <sheetData>
    <row r="1" spans="2:8" ht="15.75" thickBot="1" x14ac:dyDescent="0.3"/>
    <row r="2" spans="2:8" ht="15.75" thickBot="1" x14ac:dyDescent="0.3">
      <c r="B2" s="111" t="s">
        <v>42</v>
      </c>
      <c r="C2" s="112"/>
      <c r="D2" s="113"/>
      <c r="E2" s="72"/>
      <c r="F2" s="72"/>
      <c r="G2" s="72"/>
      <c r="H2" s="95">
        <v>3</v>
      </c>
    </row>
    <row r="3" spans="2:8" ht="23.25" thickBot="1" x14ac:dyDescent="0.3">
      <c r="B3" s="73" t="s">
        <v>0</v>
      </c>
      <c r="C3" s="74" t="s">
        <v>1</v>
      </c>
      <c r="D3" s="74" t="s">
        <v>2</v>
      </c>
      <c r="E3" s="11" t="s">
        <v>3</v>
      </c>
      <c r="F3" s="74" t="s">
        <v>4</v>
      </c>
      <c r="G3" s="75" t="s">
        <v>5</v>
      </c>
      <c r="H3" s="64" t="s">
        <v>7</v>
      </c>
    </row>
    <row r="4" spans="2:8" x14ac:dyDescent="0.25">
      <c r="B4" s="76">
        <v>45168</v>
      </c>
      <c r="C4" s="77" t="s">
        <v>41</v>
      </c>
      <c r="D4" s="97" t="s">
        <v>46</v>
      </c>
      <c r="E4" s="78">
        <v>45722</v>
      </c>
      <c r="F4" s="79">
        <v>59900</v>
      </c>
      <c r="G4" s="80">
        <v>4</v>
      </c>
      <c r="H4" s="79">
        <v>14975</v>
      </c>
    </row>
    <row r="5" spans="2:8" x14ac:dyDescent="0.25">
      <c r="B5" s="81">
        <v>45177</v>
      </c>
      <c r="C5" s="82" t="s">
        <v>40</v>
      </c>
      <c r="D5" s="98" t="s">
        <v>47</v>
      </c>
      <c r="E5" s="83">
        <v>45722</v>
      </c>
      <c r="F5" s="84">
        <v>100000</v>
      </c>
      <c r="G5" s="85">
        <v>4</v>
      </c>
      <c r="H5" s="84">
        <v>25000</v>
      </c>
    </row>
    <row r="6" spans="2:8" x14ac:dyDescent="0.25">
      <c r="B6" s="81">
        <v>45179</v>
      </c>
      <c r="C6" s="82" t="s">
        <v>40</v>
      </c>
      <c r="D6" s="98" t="s">
        <v>47</v>
      </c>
      <c r="E6" s="83">
        <v>45722</v>
      </c>
      <c r="F6" s="84">
        <v>190000</v>
      </c>
      <c r="G6" s="85">
        <v>4</v>
      </c>
      <c r="H6" s="84">
        <v>47500</v>
      </c>
    </row>
    <row r="7" spans="2:8" x14ac:dyDescent="0.25">
      <c r="B7" s="81">
        <v>45163</v>
      </c>
      <c r="C7" s="82" t="s">
        <v>39</v>
      </c>
      <c r="D7" s="98" t="s">
        <v>48</v>
      </c>
      <c r="E7" s="83">
        <v>45722</v>
      </c>
      <c r="F7" s="84">
        <v>59900</v>
      </c>
      <c r="G7" s="85">
        <v>4</v>
      </c>
      <c r="H7" s="84">
        <v>14975</v>
      </c>
    </row>
    <row r="8" spans="2:8" x14ac:dyDescent="0.25">
      <c r="B8" s="81">
        <v>45166</v>
      </c>
      <c r="C8" s="82" t="s">
        <v>38</v>
      </c>
      <c r="D8" s="98" t="s">
        <v>37</v>
      </c>
      <c r="E8" s="83">
        <v>45722</v>
      </c>
      <c r="F8" s="84">
        <v>135000</v>
      </c>
      <c r="G8" s="85">
        <v>4</v>
      </c>
      <c r="H8" s="84">
        <v>33750</v>
      </c>
    </row>
    <row r="9" spans="2:8" x14ac:dyDescent="0.25">
      <c r="B9" s="81">
        <v>45164</v>
      </c>
      <c r="C9" s="82" t="s">
        <v>36</v>
      </c>
      <c r="D9" s="98" t="s">
        <v>35</v>
      </c>
      <c r="E9" s="83">
        <v>45722</v>
      </c>
      <c r="F9" s="84">
        <v>199900</v>
      </c>
      <c r="G9" s="85">
        <v>4</v>
      </c>
      <c r="H9" s="84">
        <v>49975</v>
      </c>
    </row>
    <row r="10" spans="2:8" x14ac:dyDescent="0.25">
      <c r="B10" s="81">
        <v>45173</v>
      </c>
      <c r="C10" s="82" t="s">
        <v>34</v>
      </c>
      <c r="D10" s="98" t="s">
        <v>49</v>
      </c>
      <c r="E10" s="83">
        <v>45722</v>
      </c>
      <c r="F10" s="84">
        <v>190001</v>
      </c>
      <c r="G10" s="85">
        <v>4</v>
      </c>
      <c r="H10" s="84">
        <v>47500</v>
      </c>
    </row>
    <row r="11" spans="2:8" x14ac:dyDescent="0.25">
      <c r="B11" s="81">
        <v>45159</v>
      </c>
      <c r="C11" s="82" t="s">
        <v>33</v>
      </c>
      <c r="D11" s="98" t="s">
        <v>32</v>
      </c>
      <c r="E11" s="83">
        <v>45722</v>
      </c>
      <c r="F11" s="84">
        <v>135000</v>
      </c>
      <c r="G11" s="85">
        <v>4</v>
      </c>
      <c r="H11" s="84">
        <v>33750</v>
      </c>
    </row>
    <row r="12" spans="2:8" x14ac:dyDescent="0.25">
      <c r="B12" s="81">
        <v>45171</v>
      </c>
      <c r="C12" s="82" t="s">
        <v>31</v>
      </c>
      <c r="D12" s="98" t="s">
        <v>50</v>
      </c>
      <c r="E12" s="83">
        <v>45722</v>
      </c>
      <c r="F12" s="84">
        <v>59900</v>
      </c>
      <c r="G12" s="85">
        <v>4</v>
      </c>
      <c r="H12" s="84">
        <v>14975</v>
      </c>
    </row>
    <row r="13" spans="2:8" x14ac:dyDescent="0.25">
      <c r="B13" s="81">
        <v>45175</v>
      </c>
      <c r="C13" s="82" t="s">
        <v>30</v>
      </c>
      <c r="D13" s="98" t="s">
        <v>51</v>
      </c>
      <c r="E13" s="83">
        <v>45722</v>
      </c>
      <c r="F13" s="84">
        <v>130000</v>
      </c>
      <c r="G13" s="85">
        <v>4</v>
      </c>
      <c r="H13" s="84">
        <v>32500</v>
      </c>
    </row>
    <row r="14" spans="2:8" x14ac:dyDescent="0.25">
      <c r="B14" s="81">
        <v>45178</v>
      </c>
      <c r="C14" s="82" t="s">
        <v>29</v>
      </c>
      <c r="D14" s="98" t="s">
        <v>28</v>
      </c>
      <c r="E14" s="83">
        <v>45722</v>
      </c>
      <c r="F14" s="84">
        <v>220000</v>
      </c>
      <c r="G14" s="85">
        <v>4</v>
      </c>
      <c r="H14" s="84">
        <v>55000</v>
      </c>
    </row>
    <row r="15" spans="2:8" x14ac:dyDescent="0.25">
      <c r="B15" s="81">
        <v>45165</v>
      </c>
      <c r="C15" s="82" t="s">
        <v>27</v>
      </c>
      <c r="D15" s="98" t="s">
        <v>26</v>
      </c>
      <c r="E15" s="83">
        <v>45722</v>
      </c>
      <c r="F15" s="84">
        <v>140000</v>
      </c>
      <c r="G15" s="85">
        <v>4</v>
      </c>
      <c r="H15" s="84">
        <v>35000</v>
      </c>
    </row>
    <row r="16" spans="2:8" x14ac:dyDescent="0.25">
      <c r="B16" s="81">
        <v>45169</v>
      </c>
      <c r="C16" s="82" t="s">
        <v>25</v>
      </c>
      <c r="D16" s="98" t="s">
        <v>24</v>
      </c>
      <c r="E16" s="83">
        <v>45722</v>
      </c>
      <c r="F16" s="84">
        <v>175000</v>
      </c>
      <c r="G16" s="85">
        <v>4</v>
      </c>
      <c r="H16" s="84">
        <v>43750</v>
      </c>
    </row>
    <row r="17" spans="2:8" x14ac:dyDescent="0.25">
      <c r="B17" s="81">
        <v>45176</v>
      </c>
      <c r="C17" s="82" t="s">
        <v>23</v>
      </c>
      <c r="D17" s="98" t="s">
        <v>22</v>
      </c>
      <c r="E17" s="83">
        <v>45722</v>
      </c>
      <c r="F17" s="84">
        <v>59900</v>
      </c>
      <c r="G17" s="85">
        <v>4</v>
      </c>
      <c r="H17" s="84">
        <v>14975</v>
      </c>
    </row>
    <row r="18" spans="2:8" x14ac:dyDescent="0.25">
      <c r="B18" s="81">
        <v>45160</v>
      </c>
      <c r="C18" s="82" t="s">
        <v>21</v>
      </c>
      <c r="D18" s="98" t="s">
        <v>20</v>
      </c>
      <c r="E18" s="83">
        <v>45722</v>
      </c>
      <c r="F18" s="84">
        <v>245000</v>
      </c>
      <c r="G18" s="85">
        <v>4</v>
      </c>
      <c r="H18" s="84">
        <v>61250</v>
      </c>
    </row>
    <row r="19" spans="2:8" x14ac:dyDescent="0.25">
      <c r="B19" s="81">
        <v>45167</v>
      </c>
      <c r="C19" s="82" t="s">
        <v>19</v>
      </c>
      <c r="D19" s="98" t="s">
        <v>18</v>
      </c>
      <c r="E19" s="83">
        <v>45722</v>
      </c>
      <c r="F19" s="84">
        <v>59900</v>
      </c>
      <c r="G19" s="85">
        <v>4</v>
      </c>
      <c r="H19" s="84">
        <v>14975</v>
      </c>
    </row>
    <row r="20" spans="2:8" x14ac:dyDescent="0.25">
      <c r="B20" s="81">
        <v>45172</v>
      </c>
      <c r="C20" s="82" t="s">
        <v>19</v>
      </c>
      <c r="D20" s="98" t="s">
        <v>18</v>
      </c>
      <c r="E20" s="83">
        <v>45722</v>
      </c>
      <c r="F20" s="84">
        <v>35900</v>
      </c>
      <c r="G20" s="85">
        <v>4</v>
      </c>
      <c r="H20" s="84">
        <v>8975</v>
      </c>
    </row>
    <row r="21" spans="2:8" ht="15.75" thickBot="1" x14ac:dyDescent="0.3">
      <c r="B21" s="86">
        <v>45170</v>
      </c>
      <c r="C21" s="87" t="s">
        <v>17</v>
      </c>
      <c r="D21" s="87" t="s">
        <v>52</v>
      </c>
      <c r="E21" s="88">
        <v>45722</v>
      </c>
      <c r="F21" s="89">
        <v>100000</v>
      </c>
      <c r="G21" s="90">
        <v>4</v>
      </c>
      <c r="H21" s="89">
        <v>25000</v>
      </c>
    </row>
    <row r="22" spans="2:8" ht="15.75" thickBot="1" x14ac:dyDescent="0.3">
      <c r="B22" s="91"/>
      <c r="C22" s="91"/>
      <c r="D22" s="91"/>
      <c r="E22" s="92"/>
      <c r="F22" s="93">
        <f>SUM(F4:F21)</f>
        <v>2295301</v>
      </c>
      <c r="G22" s="94"/>
      <c r="H22" s="96">
        <f>SUM(H4:H21)</f>
        <v>573825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CTA.UNIFORME OP.04.03.25</vt:lpstr>
      <vt:lpstr>Hoja1</vt:lpstr>
      <vt:lpstr>Hoja2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Lazcano</dc:creator>
  <cp:lastModifiedBy>Viviana Lazcano</cp:lastModifiedBy>
  <cp:lastPrinted>2025-06-09T16:45:30Z</cp:lastPrinted>
  <dcterms:created xsi:type="dcterms:W3CDTF">2023-04-24T21:07:32Z</dcterms:created>
  <dcterms:modified xsi:type="dcterms:W3CDTF">2025-08-12T20:14:26Z</dcterms:modified>
</cp:coreProperties>
</file>